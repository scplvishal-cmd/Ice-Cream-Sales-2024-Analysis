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l_Done_Data_Analysis_projects\"/>
    </mc:Choice>
  </mc:AlternateContent>
  <xr:revisionPtr revIDLastSave="0" documentId="13_ncr:1_{3C9A1CA9-E2F6-4C53-93EE-33BE4F1D8C75}" xr6:coauthVersionLast="47" xr6:coauthVersionMax="47" xr10:uidLastSave="{00000000-0000-0000-0000-000000000000}"/>
  <bookViews>
    <workbookView xWindow="-120" yWindow="-120" windowWidth="20730" windowHeight="11040" firstSheet="7" activeTab="8" xr2:uid="{00000000-000D-0000-FFFF-FFFF00000000}"/>
  </bookViews>
  <sheets>
    <sheet name="Summary" sheetId="1" r:id="rId1"/>
    <sheet name="PT1_Monthly" sheetId="2" r:id="rId2"/>
    <sheet name="PT2_Flavour_Value" sheetId="3" r:id="rId3"/>
    <sheet name="PT3_Flavour_Volume" sheetId="4" r:id="rId4"/>
    <sheet name="PT4_City" sheetId="5" r:id="rId5"/>
    <sheet name="PT5_City_x_Flavour" sheetId="6" r:id="rId6"/>
    <sheet name="PT6_Channel" sheetId="7" r:id="rId7"/>
    <sheet name="PT7_Qtr_x_Channel" sheetId="8" r:id="rId8"/>
    <sheet name="PT8_Temperature" sheetId="9" r:id="rId9"/>
    <sheet name="Sales Data 2024" sheetId="10" r:id="rId10"/>
    <sheet name="Dashboard &amp; Charts" sheetId="11" r:id="rId11"/>
    <sheet name="Clean_Data" sheetId="12" r:id="rId12"/>
  </sheets>
  <definedNames>
    <definedName name="_xlnm._FilterDatabase" localSheetId="11" hidden="1">Clean_Data!$A$1:$N$1001</definedName>
  </definedNames>
  <calcPr calcId="181029"/>
  <pivotCaches>
    <pivotCache cacheId="9" r:id="rId13"/>
  </pivotCaches>
</workbook>
</file>

<file path=xl/calcChain.xml><?xml version="1.0" encoding="utf-8"?>
<calcChain xmlns="http://schemas.openxmlformats.org/spreadsheetml/2006/main">
  <c r="B24" i="11" l="1"/>
  <c r="B23" i="11"/>
  <c r="B22" i="11"/>
  <c r="B21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B6" i="11"/>
  <c r="B4" i="11"/>
  <c r="B5" i="11" s="1"/>
  <c r="B3" i="11"/>
  <c r="L5" i="1"/>
  <c r="J5" i="1"/>
  <c r="H5" i="1"/>
  <c r="F5" i="1"/>
  <c r="D5" i="1"/>
  <c r="B5" i="1"/>
</calcChain>
</file>

<file path=xl/sharedStrings.xml><?xml version="1.0" encoding="utf-8"?>
<sst xmlns="http://schemas.openxmlformats.org/spreadsheetml/2006/main" count="10230" uniqueCount="482">
  <si>
    <t>Ice Cream Sales 2024 - Analysis Summary</t>
  </si>
  <si>
    <t>1,000 transactions | 01 Jan 2024 to 31 Dec 2024 | 4 cities | 6 flavours | 3 channels | all values INR</t>
  </si>
  <si>
    <t>Revenue (INR)</t>
  </si>
  <si>
    <t>Profit (INR)</t>
  </si>
  <si>
    <t>Profit margin</t>
  </si>
  <si>
    <t>Units sold</t>
  </si>
  <si>
    <t>Transactions</t>
  </si>
  <si>
    <t>Avg units / transaction</t>
  </si>
  <si>
    <t>KEY INSIGHTS  (evidence figures come from the pivot tables noted in brackets)</t>
  </si>
  <si>
    <t>#</t>
  </si>
  <si>
    <t>Insight</t>
  </si>
  <si>
    <t>Evidence</t>
  </si>
  <si>
    <t>What it means / so what</t>
  </si>
  <si>
    <t>Seasonality is the business: revenue is concentrated in Mar-Jun</t>
  </si>
  <si>
    <t>Mar-Jun = Rs 4,028,820 (51.7% of revenue in 4 months). Apr peak Rs 1,337,740 vs Nov low Rs 258,190 (5.2x). Q2 alone = 40.5%; Q4 = 15.1%. [PT1]</t>
  </si>
  <si>
    <t>Capacity, stock, staffing and cold chain must be sized for a 4-month peak; Jan/Nov/Dec together bring only 11.6% of revenue, so fixed costs in those months are under-absorbed.</t>
  </si>
  <si>
    <t>The swing is order size, not footfall</t>
  </si>
  <si>
    <t>Transactions per month stay in a narrow band (72-107), but average units per transaction run from 34 (Jan) to 129 (Jun). [PT1, PT8]</t>
  </si>
  <si>
    <t>Demand does not disappear in the off-season; baskets shrink. Multi-packs, family tubs and bundles are a direct lever on the weak months.</t>
  </si>
  <si>
    <t>Temperature is the demand driver</t>
  </si>
  <si>
    <t>Avg units per transaction: 35 (&lt;=24C) -&gt; 62 (25-30C) -&gt; 91 (31-35C) -&gt; 126 (&gt;=36C): 3.6x. Correlation of temperature and units = 0.68. [PT8]</t>
  </si>
  <si>
    <t>Use weather forecasts to drive production and replenishment plans and to trigger promotions on cool days. Caveat: temperature is identical across cities within a month, so it behaves as a seasonal proxy, not a local reading.</t>
  </si>
  <si>
    <t>Mumbai is a concentration risk and the benchmark</t>
  </si>
  <si>
    <t>Mumbai = Rs 2,612,250 (33.5% of revenue, 34.2% of transactions) and is 41.4% ahead of #2 Pune. Delhi (Rs 1,669,610) and Bengaluru (Rs 1,660,330) are near-equal at ~21.4%. [PT4]</t>
  </si>
  <si>
    <t>One city carries a third of the business. Mumbai wins on transaction count, not basket size (Delhi has the larger baskets), so the playbook to copy is outlet density and reach.</t>
  </si>
  <si>
    <t>Chocolate and Vanilla carry the volume; Vanilla is the thinnest earner per unit</t>
  </si>
  <si>
    <t>Chocolate + Vanilla = 49.2% of units and 45.2% of revenue. Vanilla sells 19,444 units (almost equal to Chocolate 19,620) but earns only Rs 35/unit vs Rs 45 for Chocolate. [PT2, PT3]</t>
  </si>
  <si>
    <t>Vanilla is the price-test candidate: a Rs 5 increase on unchanged volume would add about Rs 97,220 profit (a scenario, not a forecast; elasticity is not in the data).</t>
  </si>
  <si>
    <t>Kesar Pista and Mango punch above their volume; Butterscotch lags</t>
  </si>
  <si>
    <t>Kesar Pista: 8,049 units (rank 6 by volume) but Rs 1,046,370 revenue and Rs 60 profit/unit (best, margin 46.2%). Butterscotch is last on revenue (Rs 829,300, 10.6%) and profit. Margins are tight across all flavours (43.8%-46.2%), so profit follows volume x price. [PT2, PT3]</t>
  </si>
  <si>
    <t>Premium flavours are the profit-per-scoop lever: push Kesar Pista and Mango in the peak and bundle with volume flavours. Review whether Butterscotch earns its menu slot.</t>
  </si>
  <si>
    <t>City-flavour mix gaps are the clearest growth opportunities</t>
  </si>
  <si>
    <t>Pune Kesar Pista = Rs 171,860 vs Delhi Rs 266,890 (-35.6%); Delhi Strawberry = Rs 288,720 vs Bengaluru Rs 186,840 (54.5%); Delhi Butterscotch is the lowest cell (Rs 149,400). [PT5]</t>
  </si>
  <si>
    <t>Bring weak city-flavour cells up toward the best peer city through targeted listing, sampling and promotion; check availability before assuming it is a taste difference.</t>
  </si>
  <si>
    <t>Online delivery is a big channel but its share slid through the year</t>
  </si>
  <si>
    <t>In-Store 49.4%, Online Delivery 37.3%, Kiosk 13.3% of revenue. Online share fell from 40.3% (Q2) to 32.9% (Q4) while In-Store rose to 54.3%. Delhi is the most online-led city (39.4%). [PT6, PT7]</t>
  </si>
  <si>
    <t>Find out why online lost share in H2 (cool-weather ordering, promotions, delivery coverage). Note: costs here are product cost only; delivery fees, aggregator commissions and kiosk rent are not in the data, so channel profitability is overstated.</t>
  </si>
  <si>
    <t>RECOMMENDED ACTIONS</t>
  </si>
  <si>
    <t>Plan to the peak: lock stock, freezer capacity and staffing for Mar-Jun by early Feb, driven by temperature forecasts (PT1, PT8).</t>
  </si>
  <si>
    <t>Lift off-season baskets: launch multi-packs / family tubs / bundles for Nov-Feb to raise units per order from ~35 toward the 60-75 seen in the shoulder months (PT1, PT8).</t>
  </si>
  <si>
    <t>Test a Rs 5 price rise on Vanilla in one city and track volume; protect Chocolate availability as the volume anchor (PT2, PT3).</t>
  </si>
  <si>
    <t>Promote Kesar Pista and Mango (highest profit/unit) in the peak months; take Kesar Pista in Pune to at least Delhi's level (PT2, PT5).</t>
  </si>
  <si>
    <t>Reduce Mumbai dependence: set growth targets for Delhi and Bengaluru and replicate Mumbai's outlet coverage (PT4).</t>
  </si>
  <si>
    <t>Diagnose the H2 decline in Online Delivery share and set a recovery target; add delivery-fee and kiosk-rent costs to the data to see true channel profit (PT6, PT7).</t>
  </si>
  <si>
    <t>Data hygiene: store dates as real dates, add a transaction ID, and capture all channel costs so the next analysis is exact.</t>
  </si>
  <si>
    <t>DATA QUALITY, CHANGES AND ASSUMPTIONS</t>
  </si>
  <si>
    <t>-</t>
  </si>
  <si>
    <t>Original sheets 'Sales Data 2024' and 'Dashboard &amp; Charts' are kept as-is (data, formulas and the 3 charts); only the axis visibility flag on the 3 existing charts was switched on so axes always show. Those charts are static ranges; the charts here extend them with profit, trend, channel and city x flavour views.</t>
  </si>
  <si>
    <t>Dates in the original sheet are stored as text (e.g. '2024-04-12'). Clean_Data holds the same 1,000 rows with true Excel dates plus 3 helper columns (Month, Quarter, Temp_Band). All pivots read from Clean_Data.</t>
  </si>
  <si>
    <t>Checks passed on all 1,000 rows: no blanks; no duplicate rows; Revenue = Units x Price, Cost = Units x Unit cost and Profit = Revenue - Cost reconcile exactly; one price and one cost per flavour; no outliers (max 198 units, none beyond 3 standard deviations); consistent category spellings.</t>
  </si>
  <si>
    <t>Flags (kept, not changed): 30 Date+City+Flavour+Channel combinations appear more than once with different quantities (treated as separate sales lines); only 336 of 366 days have records (a 1,000-row sample, so absolute totals may understate the true business); temperature is the same in every city for a month.</t>
  </si>
  <si>
    <t>Pivot caches are set to refresh when the file is opened; use Data &gt; Refresh All after editing Clean_Data. If the file opens in Protected View, click Enable Editing first.</t>
  </si>
  <si>
    <t>WORKBOOK GUIDE (click to jump)</t>
  </si>
  <si>
    <t>PT1_Monthly</t>
  </si>
  <si>
    <t>Pivot + line chart: monthly revenue &amp; profit</t>
  </si>
  <si>
    <t>PT2_Flavour_Value</t>
  </si>
  <si>
    <t>Pivot + chart: revenue &amp; profit by flavour</t>
  </si>
  <si>
    <t>PT3_Flavour_Volume</t>
  </si>
  <si>
    <t>Pivot + chart: units sold by flavour</t>
  </si>
  <si>
    <t>PT4_City</t>
  </si>
  <si>
    <t>Pivot + chart: revenue &amp; profit by city</t>
  </si>
  <si>
    <t>PT5_City_x_Flavour</t>
  </si>
  <si>
    <t>Pivot + stacked chart: city x flavour revenue</t>
  </si>
  <si>
    <t>PT6_Channel</t>
  </si>
  <si>
    <t>Pivot + pie: revenue share by channel</t>
  </si>
  <si>
    <t>PT7_Qtr_x_Channel</t>
  </si>
  <si>
    <t>Pivot + stacked chart: quarter x channel revenue</t>
  </si>
  <si>
    <t>PT8_Temperature</t>
  </si>
  <si>
    <t>Pivot + chart: avg units per transaction by temperature band</t>
  </si>
  <si>
    <t>Sales Data 2024</t>
  </si>
  <si>
    <t>Your original data (untouched)</t>
  </si>
  <si>
    <t>Dashboard &amp; Charts</t>
  </si>
  <si>
    <t>Your original dashboard and 3 charts</t>
  </si>
  <si>
    <t>Clean_Data</t>
  </si>
  <si>
    <t>Pivot source: real dates + helper columns</t>
  </si>
  <si>
    <t>PT1 - Monthly revenue &amp; profit trend (INR, 2024)</t>
  </si>
  <si>
    <t>Real PivotTable (source: Clean_Data!A1:N1001). Right-click &gt; Refresh after any data change; drag fields in the PivotTable Fields pane to re-slice. The chart reads the cells of this pivot and updates when the pivot is refreshed.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</si>
  <si>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</si>
  <si>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</si>
  <si>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</si>
  <si>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</si>
  <si>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</si>
  <si>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</si>
  <si>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</si>
  <si>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</si>
  <si>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</si>
  <si>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</si>
  <si>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</si>
  <si>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</si>
  <si>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</si>
  <si>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</si>
  <si>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PT2 - Flavour revenue &amp; profit (INR)</t>
  </si>
  <si>
    <t>Flavour</t>
  </si>
  <si>
    <t>Chocolate</t>
  </si>
  <si>
    <t>Vanilla</t>
  </si>
  <si>
    <t>Mango</t>
  </si>
  <si>
    <t>Strawberry</t>
  </si>
  <si>
    <t>Kesar Pista</t>
  </si>
  <si>
    <t>Butterscotch</t>
  </si>
  <si>
    <t>PT3 - Flavour volume: units sold</t>
  </si>
  <si>
    <t>Units Sold</t>
  </si>
  <si>
    <t>PT4 - City revenue &amp; profit (INR)</t>
  </si>
  <si>
    <t>City</t>
  </si>
  <si>
    <t>Mumbai</t>
  </si>
  <si>
    <t>Pune</t>
  </si>
  <si>
    <t>Delhi</t>
  </si>
  <si>
    <t>Bengaluru</t>
  </si>
  <si>
    <t>PT5 - Revenue by City x Flavour (INR)</t>
  </si>
  <si>
    <t>PT6 - Revenue by sales channel (INR)</t>
  </si>
  <si>
    <t>Channel</t>
  </si>
  <si>
    <t>In-Store</t>
  </si>
  <si>
    <t>Online Delivery</t>
  </si>
  <si>
    <t>Kiosk</t>
  </si>
  <si>
    <t>PT7 - Revenue by Quarter x Channel (INR)</t>
  </si>
  <si>
    <t>Quarter</t>
  </si>
  <si>
    <t>Q1</t>
  </si>
  <si>
    <t>Q2</t>
  </si>
  <si>
    <t>Q3</t>
  </si>
  <si>
    <t>Q4</t>
  </si>
  <si>
    <t>PT8 - Demand vs temperature: average units per transaction</t>
  </si>
  <si>
    <t>Temperature band</t>
  </si>
  <si>
    <t>Avg Units per Transaction</t>
  </si>
  <si>
    <t>Cool (&lt;=24C)</t>
  </si>
  <si>
    <t>Mild (25-30C)</t>
  </si>
  <si>
    <t>Hot (31-35C)</t>
  </si>
  <si>
    <t>Very hot (&gt;=36C)</t>
  </si>
  <si>
    <t>Date</t>
  </si>
  <si>
    <t>Temperature_C</t>
  </si>
  <si>
    <t>Units_Sold</t>
  </si>
  <si>
    <t>Unit_Price_INR</t>
  </si>
  <si>
    <t>Unit_Cost_INR</t>
  </si>
  <si>
    <t>Revenue_INR</t>
  </si>
  <si>
    <t>Cost_INR</t>
  </si>
  <si>
    <t>Profit_INR</t>
  </si>
  <si>
    <t>2024-04-12</t>
  </si>
  <si>
    <t>2024-05-01</t>
  </si>
  <si>
    <t>2024-05-31</t>
  </si>
  <si>
    <t>2024-07-10</t>
  </si>
  <si>
    <t>2024-12-29</t>
  </si>
  <si>
    <t>2024-11-24</t>
  </si>
  <si>
    <t>2024-09-21</t>
  </si>
  <si>
    <t>2024-09-20</t>
  </si>
  <si>
    <t>2024-02-23</t>
  </si>
  <si>
    <t>2024-07-20</t>
  </si>
  <si>
    <t>2024-09-08</t>
  </si>
  <si>
    <t>2024-08-04</t>
  </si>
  <si>
    <t>2024-12-10</t>
  </si>
  <si>
    <t>2024-03-21</t>
  </si>
  <si>
    <t>2024-07-19</t>
  </si>
  <si>
    <t>2024-10-19</t>
  </si>
  <si>
    <t>2024-04-10</t>
  </si>
  <si>
    <t>2024-10-09</t>
  </si>
  <si>
    <t>2024-03-03</t>
  </si>
  <si>
    <t>2024-08-18</t>
  </si>
  <si>
    <t>2024-07-05</t>
  </si>
  <si>
    <t>2024-05-13</t>
  </si>
  <si>
    <t>2024-12-13</t>
  </si>
  <si>
    <t>2024-04-25</t>
  </si>
  <si>
    <t>2024-08-12</t>
  </si>
  <si>
    <t>2024-08-20</t>
  </si>
  <si>
    <t>2024-04-22</t>
  </si>
  <si>
    <t>2024-08-07</t>
  </si>
  <si>
    <t>2024-02-22</t>
  </si>
  <si>
    <t>2024-07-21</t>
  </si>
  <si>
    <t>2024-04-07</t>
  </si>
  <si>
    <t>2024-05-03</t>
  </si>
  <si>
    <t>2024-05-26</t>
  </si>
  <si>
    <t>2024-12-03</t>
  </si>
  <si>
    <t>2024-10-24</t>
  </si>
  <si>
    <t>2024-01-02</t>
  </si>
  <si>
    <t>2024-01-09</t>
  </si>
  <si>
    <t>2024-04-13</t>
  </si>
  <si>
    <t>2024-12-14</t>
  </si>
  <si>
    <t>2024-06-09</t>
  </si>
  <si>
    <t>2024-05-14</t>
  </si>
  <si>
    <t>2024-01-22</t>
  </si>
  <si>
    <t>2024-10-03</t>
  </si>
  <si>
    <t>2024-01-04</t>
  </si>
  <si>
    <t>2024-01-06</t>
  </si>
  <si>
    <t>2024-04-04</t>
  </si>
  <si>
    <t>2024-10-07</t>
  </si>
  <si>
    <t>2024-04-23</t>
  </si>
  <si>
    <t>2024-09-29</t>
  </si>
  <si>
    <t>2024-01-26</t>
  </si>
  <si>
    <t>2024-02-05</t>
  </si>
  <si>
    <t>2024-05-22</t>
  </si>
  <si>
    <t>2024-06-01</t>
  </si>
  <si>
    <t>2024-10-31</t>
  </si>
  <si>
    <t>2024-12-30</t>
  </si>
  <si>
    <t>2024-05-23</t>
  </si>
  <si>
    <t>2024-11-14</t>
  </si>
  <si>
    <t>2024-11-13</t>
  </si>
  <si>
    <t>2024-04-05</t>
  </si>
  <si>
    <t>2024-09-28</t>
  </si>
  <si>
    <t>2024-03-26</t>
  </si>
  <si>
    <t>2024-07-22</t>
  </si>
  <si>
    <t>2024-01-23</t>
  </si>
  <si>
    <t>2024-09-06</t>
  </si>
  <si>
    <t>2024-12-01</t>
  </si>
  <si>
    <t>2024-03-05</t>
  </si>
  <si>
    <t>2024-09-09</t>
  </si>
  <si>
    <t>2024-04-24</t>
  </si>
  <si>
    <t>2024-07-08</t>
  </si>
  <si>
    <t>2024-12-20</t>
  </si>
  <si>
    <t>2024-12-07</t>
  </si>
  <si>
    <t>2024-03-16</t>
  </si>
  <si>
    <t>2024-08-10</t>
  </si>
  <si>
    <t>2024-08-26</t>
  </si>
  <si>
    <t>2024-06-18</t>
  </si>
  <si>
    <t>2024-12-04</t>
  </si>
  <si>
    <t>2024-06-15</t>
  </si>
  <si>
    <t>2024-04-26</t>
  </si>
  <si>
    <t>2024-03-20</t>
  </si>
  <si>
    <t>2024-02-16</t>
  </si>
  <si>
    <t>2024-09-15</t>
  </si>
  <si>
    <t>2024-12-23</t>
  </si>
  <si>
    <t>2024-03-30</t>
  </si>
  <si>
    <t>2024-08-15</t>
  </si>
  <si>
    <t>2024-07-30</t>
  </si>
  <si>
    <t>2024-03-22</t>
  </si>
  <si>
    <t>2024-10-12</t>
  </si>
  <si>
    <t>2024-11-06</t>
  </si>
  <si>
    <t>2024-03-18</t>
  </si>
  <si>
    <t>2024-10-14</t>
  </si>
  <si>
    <t>2024-04-27</t>
  </si>
  <si>
    <t>2024-04-21</t>
  </si>
  <si>
    <t>2024-03-15</t>
  </si>
  <si>
    <t>2024-06-14</t>
  </si>
  <si>
    <t>2024-12-05</t>
  </si>
  <si>
    <t>2024-04-20</t>
  </si>
  <si>
    <t>2024-12-25</t>
  </si>
  <si>
    <t>2024-03-01</t>
  </si>
  <si>
    <t>2024-11-12</t>
  </si>
  <si>
    <t>2024-02-15</t>
  </si>
  <si>
    <t>2024-08-01</t>
  </si>
  <si>
    <t>2024-01-07</t>
  </si>
  <si>
    <t>2024-10-20</t>
  </si>
  <si>
    <t>2024-01-25</t>
  </si>
  <si>
    <t>2024-08-16</t>
  </si>
  <si>
    <t>2024-06-26</t>
  </si>
  <si>
    <t>2024-05-09</t>
  </si>
  <si>
    <t>2024-02-07</t>
  </si>
  <si>
    <t>2024-11-29</t>
  </si>
  <si>
    <t>2024-01-01</t>
  </si>
  <si>
    <t>2024-10-22</t>
  </si>
  <si>
    <t>2024-11-04</t>
  </si>
  <si>
    <t>2024-06-27</t>
  </si>
  <si>
    <t>2024-10-15</t>
  </si>
  <si>
    <t>2024-09-17</t>
  </si>
  <si>
    <t>2024-08-30</t>
  </si>
  <si>
    <t>2024-07-28</t>
  </si>
  <si>
    <t>2024-11-19</t>
  </si>
  <si>
    <t>2024-02-20</t>
  </si>
  <si>
    <t>2024-10-28</t>
  </si>
  <si>
    <t>2024-12-12</t>
  </si>
  <si>
    <t>2024-06-28</t>
  </si>
  <si>
    <t>2024-06-02</t>
  </si>
  <si>
    <t>2024-06-25</t>
  </si>
  <si>
    <t>2024-11-22</t>
  </si>
  <si>
    <t>2024-07-12</t>
  </si>
  <si>
    <t>2024-12-31</t>
  </si>
  <si>
    <t>2024-10-17</t>
  </si>
  <si>
    <t>2024-06-13</t>
  </si>
  <si>
    <t>2024-09-19</t>
  </si>
  <si>
    <t>2024-10-11</t>
  </si>
  <si>
    <t>2024-07-13</t>
  </si>
  <si>
    <t>2024-08-13</t>
  </si>
  <si>
    <t>2024-02-09</t>
  </si>
  <si>
    <t>2024-05-25</t>
  </si>
  <si>
    <t>2024-01-27</t>
  </si>
  <si>
    <t>2024-10-18</t>
  </si>
  <si>
    <t>2024-09-02</t>
  </si>
  <si>
    <t>2024-08-14</t>
  </si>
  <si>
    <t>2024-03-13</t>
  </si>
  <si>
    <t>2024-04-11</t>
  </si>
  <si>
    <t>2024-11-25</t>
  </si>
  <si>
    <t>2024-07-18</t>
  </si>
  <si>
    <t>2024-10-08</t>
  </si>
  <si>
    <t>2024-06-24</t>
  </si>
  <si>
    <t>2024-05-10</t>
  </si>
  <si>
    <t>2024-01-15</t>
  </si>
  <si>
    <t>2024-02-08</t>
  </si>
  <si>
    <t>2024-08-23</t>
  </si>
  <si>
    <t>2024-12-24</t>
  </si>
  <si>
    <t>2024-06-06</t>
  </si>
  <si>
    <t>2024-12-09</t>
  </si>
  <si>
    <t>2024-10-21</t>
  </si>
  <si>
    <t>2024-04-08</t>
  </si>
  <si>
    <t>2024-08-03</t>
  </si>
  <si>
    <t>2024-12-22</t>
  </si>
  <si>
    <t>2024-09-07</t>
  </si>
  <si>
    <t>2024-11-18</t>
  </si>
  <si>
    <t>2024-09-18</t>
  </si>
  <si>
    <t>2024-09-25</t>
  </si>
  <si>
    <t>2024-07-06</t>
  </si>
  <si>
    <t>2024-06-08</t>
  </si>
  <si>
    <t>2024-07-24</t>
  </si>
  <si>
    <t>2024-03-14</t>
  </si>
  <si>
    <t>2024-10-04</t>
  </si>
  <si>
    <t>2024-01-12</t>
  </si>
  <si>
    <t>2024-02-27</t>
  </si>
  <si>
    <t>2024-12-02</t>
  </si>
  <si>
    <t>2024-03-24</t>
  </si>
  <si>
    <t>2024-09-27</t>
  </si>
  <si>
    <t>2024-01-08</t>
  </si>
  <si>
    <t>2024-01-24</t>
  </si>
  <si>
    <t>2024-03-12</t>
  </si>
  <si>
    <t>2024-02-01</t>
  </si>
  <si>
    <t>2024-09-23</t>
  </si>
  <si>
    <t>2024-04-15</t>
  </si>
  <si>
    <t>2024-11-23</t>
  </si>
  <si>
    <t>2024-07-26</t>
  </si>
  <si>
    <t>2024-10-27</t>
  </si>
  <si>
    <t>2024-08-08</t>
  </si>
  <si>
    <t>2024-07-29</t>
  </si>
  <si>
    <t>2024-02-04</t>
  </si>
  <si>
    <t>2024-12-15</t>
  </si>
  <si>
    <t>2024-08-24</t>
  </si>
  <si>
    <t>2024-04-09</t>
  </si>
  <si>
    <t>2024-06-11</t>
  </si>
  <si>
    <t>2024-10-29</t>
  </si>
  <si>
    <t>2024-09-13</t>
  </si>
  <si>
    <t>2024-10-10</t>
  </si>
  <si>
    <t>2024-04-29</t>
  </si>
  <si>
    <t>2024-04-28</t>
  </si>
  <si>
    <t>2024-10-02</t>
  </si>
  <si>
    <t>2024-01-05</t>
  </si>
  <si>
    <t>2024-10-30</t>
  </si>
  <si>
    <t>2024-03-17</t>
  </si>
  <si>
    <t>2024-04-19</t>
  </si>
  <si>
    <t>2024-11-21</t>
  </si>
  <si>
    <t>2024-04-16</t>
  </si>
  <si>
    <t>2024-05-15</t>
  </si>
  <si>
    <t>2024-06-07</t>
  </si>
  <si>
    <t>2024-06-21</t>
  </si>
  <si>
    <t>2024-01-19</t>
  </si>
  <si>
    <t>2024-08-29</t>
  </si>
  <si>
    <t>2024-05-28</t>
  </si>
  <si>
    <t>2024-08-28</t>
  </si>
  <si>
    <t>2024-02-11</t>
  </si>
  <si>
    <t>2024-11-11</t>
  </si>
  <si>
    <t>2024-08-17</t>
  </si>
  <si>
    <t>2024-12-19</t>
  </si>
  <si>
    <t>2024-11-28</t>
  </si>
  <si>
    <t>2024-02-24</t>
  </si>
  <si>
    <t>2024-04-30</t>
  </si>
  <si>
    <t>2024-05-30</t>
  </si>
  <si>
    <t>2024-08-25</t>
  </si>
  <si>
    <t>2024-02-29</t>
  </si>
  <si>
    <t>2024-09-16</t>
  </si>
  <si>
    <t>2024-07-01</t>
  </si>
  <si>
    <t>2024-05-17</t>
  </si>
  <si>
    <t>2024-02-03</t>
  </si>
  <si>
    <t>2024-05-08</t>
  </si>
  <si>
    <t>2024-03-19</t>
  </si>
  <si>
    <t>2024-03-27</t>
  </si>
  <si>
    <t>2024-04-18</t>
  </si>
  <si>
    <t>2024-08-19</t>
  </si>
  <si>
    <t>2024-01-28</t>
  </si>
  <si>
    <t>2024-11-15</t>
  </si>
  <si>
    <t>2024-09-12</t>
  </si>
  <si>
    <t>2024-09-22</t>
  </si>
  <si>
    <t>2024-06-22</t>
  </si>
  <si>
    <t>2024-09-24</t>
  </si>
  <si>
    <t>2024-05-29</t>
  </si>
  <si>
    <t>2024-06-19</t>
  </si>
  <si>
    <t>2024-12-27</t>
  </si>
  <si>
    <t>2024-01-20</t>
  </si>
  <si>
    <t>2024-07-04</t>
  </si>
  <si>
    <t>2024-09-10</t>
  </si>
  <si>
    <t>2024-07-16</t>
  </si>
  <si>
    <t>2024-06-30</t>
  </si>
  <si>
    <t>2024-02-13</t>
  </si>
  <si>
    <t>2024-07-14</t>
  </si>
  <si>
    <t>2024-01-17</t>
  </si>
  <si>
    <t>2024-05-04</t>
  </si>
  <si>
    <t>2024-06-16</t>
  </si>
  <si>
    <t>2024-03-29</t>
  </si>
  <si>
    <t>2024-03-25</t>
  </si>
  <si>
    <t>2024-01-16</t>
  </si>
  <si>
    <t>2024-08-05</t>
  </si>
  <si>
    <t>2024-11-20</t>
  </si>
  <si>
    <t>2024-11-08</t>
  </si>
  <si>
    <t>2024-03-31</t>
  </si>
  <si>
    <t>2024-10-01</t>
  </si>
  <si>
    <t>2024-11-03</t>
  </si>
  <si>
    <t>2024-05-06</t>
  </si>
  <si>
    <t>2024-11-27</t>
  </si>
  <si>
    <t>2024-06-05</t>
  </si>
  <si>
    <t>2024-12-26</t>
  </si>
  <si>
    <t>2024-04-02</t>
  </si>
  <si>
    <t>2024-12-18</t>
  </si>
  <si>
    <t>2024-02-28</t>
  </si>
  <si>
    <t>2024-07-11</t>
  </si>
  <si>
    <t>2024-05-05</t>
  </si>
  <si>
    <t>2024-05-18</t>
  </si>
  <si>
    <t>2024-05-24</t>
  </si>
  <si>
    <t>2024-03-07</t>
  </si>
  <si>
    <t>2024-07-09</t>
  </si>
  <si>
    <t>2024-05-02</t>
  </si>
  <si>
    <t>2024-02-21</t>
  </si>
  <si>
    <t>2024-11-30</t>
  </si>
  <si>
    <t>2024-05-16</t>
  </si>
  <si>
    <t>2024-05-20</t>
  </si>
  <si>
    <t>2024-07-31</t>
  </si>
  <si>
    <t>2024-01-13</t>
  </si>
  <si>
    <t>2024-01-03</t>
  </si>
  <si>
    <t>2024-08-11</t>
  </si>
  <si>
    <t>2024-02-18</t>
  </si>
  <si>
    <t>2024-09-04</t>
  </si>
  <si>
    <t>2024-08-27</t>
  </si>
  <si>
    <t>2024-12-17</t>
  </si>
  <si>
    <t>2024-03-28</t>
  </si>
  <si>
    <t>2024-04-14</t>
  </si>
  <si>
    <t>2024-05-11</t>
  </si>
  <si>
    <t>2024-02-10</t>
  </si>
  <si>
    <t>2024-06-29</t>
  </si>
  <si>
    <t>2024-11-09</t>
  </si>
  <si>
    <t>2024-07-07</t>
  </si>
  <si>
    <t>2024-04-06</t>
  </si>
  <si>
    <t>2024-05-07</t>
  </si>
  <si>
    <t>2024-08-06</t>
  </si>
  <si>
    <t>2024-11-17</t>
  </si>
  <si>
    <t>2024-02-17</t>
  </si>
  <si>
    <t>2024-03-23</t>
  </si>
  <si>
    <t>2024-02-25</t>
  </si>
  <si>
    <t>2024-12-06</t>
  </si>
  <si>
    <t>2024-05-19</t>
  </si>
  <si>
    <t>2024-09-03</t>
  </si>
  <si>
    <t>2024-09-01</t>
  </si>
  <si>
    <t>2024-03-11</t>
  </si>
  <si>
    <t>2024-07-25</t>
  </si>
  <si>
    <t>2024-11-05</t>
  </si>
  <si>
    <t>2024-11-26</t>
  </si>
  <si>
    <t>2024-03-02</t>
  </si>
  <si>
    <t>2024-08-02</t>
  </si>
  <si>
    <t>2024-10-26</t>
  </si>
  <si>
    <t>2024-12-11</t>
  </si>
  <si>
    <t>2024-12-16</t>
  </si>
  <si>
    <t>2024-12-21</t>
  </si>
  <si>
    <t>2024-12-08</t>
  </si>
  <si>
    <t>2024-07-27</t>
  </si>
  <si>
    <t>2024-02-14</t>
  </si>
  <si>
    <t>2024-01-11</t>
  </si>
  <si>
    <t>2024-07-02</t>
  </si>
  <si>
    <t>2024-08-09</t>
  </si>
  <si>
    <t>2024-04-03</t>
  </si>
  <si>
    <t>2024-08-31</t>
  </si>
  <si>
    <t>2024-10-16</t>
  </si>
  <si>
    <t>2024-10-13</t>
  </si>
  <si>
    <t>2024-09-26</t>
  </si>
  <si>
    <t>2024-05-27</t>
  </si>
  <si>
    <t>2024-06-17</t>
  </si>
  <si>
    <t>2024-11-01</t>
  </si>
  <si>
    <t>2024-01-30</t>
  </si>
  <si>
    <t>2024-01-18</t>
  </si>
  <si>
    <t>2024-01-29</t>
  </si>
  <si>
    <t>2024-06-20</t>
  </si>
  <si>
    <t>2024-06-23</t>
  </si>
  <si>
    <t>2024-04-01</t>
  </si>
  <si>
    <t>2024-09-30</t>
  </si>
  <si>
    <t>2024-01-14</t>
  </si>
  <si>
    <t>2024-04-17</t>
  </si>
  <si>
    <t>2024-07-15</t>
  </si>
  <si>
    <t>2024-02-26</t>
  </si>
  <si>
    <t>2024-10-05</t>
  </si>
  <si>
    <t>2024-02-02</t>
  </si>
  <si>
    <t>2024-11-07</t>
  </si>
  <si>
    <t>2024-06-04</t>
  </si>
  <si>
    <t>2024-01-10</t>
  </si>
  <si>
    <t>🍦 ICE CREAM SALES &amp; PROFITABILITY DASHBOARD (CY 2024)</t>
  </si>
  <si>
    <t>Total Revenue (INR)</t>
  </si>
  <si>
    <t>Total Profit (INR)</t>
  </si>
  <si>
    <t>Overall Profit Margin</t>
  </si>
  <si>
    <t>Total Units Sold</t>
  </si>
  <si>
    <t>Flavour Summary Table</t>
  </si>
  <si>
    <t>Total Revenue (₹)</t>
  </si>
  <si>
    <t>Total Cost (₹)</t>
  </si>
  <si>
    <t>Total Profit (₹)</t>
  </si>
  <si>
    <t>City Summary Table</t>
  </si>
  <si>
    <t>Temp_Band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</si>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</sst>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₹#,##0"/>
    <numFmt numFmtId="166" formatCode="0.0%"/>
    <numFmt numFmtId="169" formatCode="0.0"/>
  </numFmts>
  <fonts count="1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3"/>
      <color rgb="FF1F497D"/>
      <name val="Calibri"/>
    </font>
    <font>
      <b/>
      <sz val="11"/>
      <name val="Calibri"/>
    </font>
    <font>
      <b/>
      <sz val="11"/>
      <color rgb="FF002060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i/>
      <sz val="11"/>
      <color rgb="FF595959"/>
      <name val="Calibri"/>
    </font>
    <font>
      <b/>
      <sz val="18"/>
      <color rgb="FF1F3864"/>
      <name val="Calibri"/>
    </font>
    <font>
      <b/>
      <sz val="9"/>
      <color rgb="FF595959"/>
      <name val="Calibri"/>
    </font>
    <font>
      <b/>
      <sz val="16"/>
      <color rgb="FF1F3864"/>
      <name val="Calibri"/>
    </font>
    <font>
      <b/>
      <sz val="12"/>
      <color rgb="FFFFFFFF"/>
      <name val="Calibri"/>
    </font>
    <font>
      <b/>
      <sz val="11"/>
      <color rgb="FF1F3864"/>
      <name val="Calibri"/>
    </font>
    <font>
      <sz val="1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66092"/>
        <bgColor rgb="FF366092"/>
      </patternFill>
    </fill>
    <fill>
      <patternFill patternType="solid">
        <fgColor rgb="FF1F3864"/>
      </patternFill>
    </fill>
    <fill>
      <patternFill patternType="solid">
        <fgColor rgb="FFEAF0FA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4" fillId="0" borderId="0" xfId="0" applyFont="1"/>
    <xf numFmtId="165" fontId="5" fillId="0" borderId="0" xfId="0" applyNumberFormat="1" applyFont="1"/>
    <xf numFmtId="166" fontId="5" fillId="0" borderId="0" xfId="0" applyNumberFormat="1" applyFont="1"/>
    <xf numFmtId="3" fontId="5" fillId="0" borderId="0" xfId="0" applyNumberFormat="1" applyFont="1"/>
    <xf numFmtId="0" fontId="3" fillId="0" borderId="0" xfId="0" applyFont="1"/>
    <xf numFmtId="0" fontId="6" fillId="3" borderId="0" xfId="0" applyFont="1" applyFill="1" applyAlignment="1">
      <alignment horizontal="center"/>
    </xf>
    <xf numFmtId="3" fontId="0" fillId="0" borderId="0" xfId="0" applyNumberFormat="1"/>
    <xf numFmtId="165" fontId="0" fillId="0" borderId="0" xfId="0" applyNumberFormat="1"/>
    <xf numFmtId="0" fontId="8" fillId="0" borderId="0" xfId="0" applyFont="1"/>
    <xf numFmtId="0" fontId="13" fillId="6" borderId="0" xfId="0" applyFont="1" applyFill="1"/>
    <xf numFmtId="0" fontId="13" fillId="0" borderId="2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7" fillId="0" borderId="0" xfId="0" applyFont="1"/>
    <xf numFmtId="0" fontId="6" fillId="4" borderId="0" xfId="0" applyFont="1" applyFill="1" applyAlignment="1">
      <alignment horizontal="center"/>
    </xf>
    <xf numFmtId="164" fontId="0" fillId="0" borderId="0" xfId="0" applyNumberFormat="1"/>
    <xf numFmtId="0" fontId="8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2" fillId="4" borderId="0" xfId="0" applyFont="1" applyFill="1" applyAlignment="1">
      <alignment vertical="center" indent="1"/>
    </xf>
    <xf numFmtId="0" fontId="15" fillId="0" borderId="0" xfId="0" applyFont="1"/>
    <xf numFmtId="0" fontId="14" fillId="0" borderId="2" xfId="0" applyFont="1" applyBorder="1" applyAlignment="1">
      <alignment vertical="top" wrapText="1"/>
    </xf>
    <xf numFmtId="0" fontId="0" fillId="0" borderId="2" xfId="0" applyBorder="1"/>
    <xf numFmtId="169" fontId="11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0" fillId="5" borderId="0" xfId="0" applyFont="1" applyFill="1" applyAlignment="1">
      <alignment horizontal="center"/>
    </xf>
    <xf numFmtId="0" fontId="4" fillId="0" borderId="2" xfId="0" applyFont="1" applyBorder="1" applyAlignment="1">
      <alignment vertical="top" wrapText="1"/>
    </xf>
    <xf numFmtId="0" fontId="13" fillId="6" borderId="0" xfId="0" applyFont="1" applyFill="1"/>
    <xf numFmtId="0" fontId="0" fillId="6" borderId="0" xfId="0" applyFill="1"/>
    <xf numFmtId="166" fontId="11" fillId="5" borderId="0" xfId="0" applyNumberFormat="1" applyFont="1" applyFill="1" applyAlignment="1">
      <alignment horizontal="center" vertical="center"/>
    </xf>
    <xf numFmtId="3" fontId="11" fillId="5" borderId="0" xfId="0" applyNumberFormat="1" applyFont="1" applyFill="1" applyAlignment="1">
      <alignment horizontal="center" vertical="center"/>
    </xf>
    <xf numFmtId="0" fontId="9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&amp; Profit, 2024 (INR)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PT1_Monthly!$B$4</c:f>
              <c:strCache>
                <c:ptCount val="1"/>
                <c:pt idx="0">
                  <c:v>Values</c:v>
                </c:pt>
              </c:strCache>
            </c:strRef>
          </c:tx>
          <c:spPr>
            <a:ln w="28575">
              <a:solidFill>
                <a:srgbClr val="2F6DB5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2F6DB5"/>
              </a:solidFill>
              <a:ln>
                <a:prstDash val="solid"/>
              </a:ln>
            </c:spPr>
          </c:marker>
          <c:cat>
            <c:strRef>
              <c:f>PT1_Monthly!$A$5:$A$16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PT1_Monthly!$B$5:$B$16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315040</c:v>
                </c:pt>
                <c:pt idx="2">
                  <c:v>529250</c:v>
                </c:pt>
                <c:pt idx="3">
                  <c:v>875550</c:v>
                </c:pt>
                <c:pt idx="4">
                  <c:v>1337740</c:v>
                </c:pt>
                <c:pt idx="5">
                  <c:v>890870</c:v>
                </c:pt>
                <c:pt idx="6">
                  <c:v>924660</c:v>
                </c:pt>
                <c:pt idx="7">
                  <c:v>474280</c:v>
                </c:pt>
                <c:pt idx="8">
                  <c:v>651480</c:v>
                </c:pt>
                <c:pt idx="9">
                  <c:v>612480</c:v>
                </c:pt>
                <c:pt idx="10">
                  <c:v>590430</c:v>
                </c:pt>
                <c:pt idx="11">
                  <c:v>258190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9-4DE2-A521-93A6E7AB5F87}"/>
            </c:ext>
          </c:extLst>
        </c:ser>
        <c:ser>
          <c:idx val="1"/>
          <c:order val="1"/>
          <c:tx>
            <c:strRef>
              <c:f>PT1_Monthly!$C$4</c:f>
              <c:strCache>
                <c:ptCount val="1"/>
              </c:strCache>
            </c:strRef>
          </c:tx>
          <c:spPr>
            <a:ln w="28575">
              <a:solidFill>
                <a:srgbClr val="E8833A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E8833A"/>
              </a:solidFill>
              <a:ln>
                <a:prstDash val="solid"/>
              </a:ln>
            </c:spPr>
          </c:marker>
          <c:cat>
            <c:strRef>
              <c:f>PT1_Monthly!$A$5:$A$16</c:f>
              <c:strCache>
                <c:ptCount val="12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PT1_Monthly!$C$5:$C$16</c:f>
              <c:numCache>
                <c:formatCode>#,##0</c:formatCode>
                <c:ptCount val="12"/>
                <c:pt idx="0" formatCode="General">
                  <c:v>0</c:v>
                </c:pt>
                <c:pt idx="1">
                  <c:v>141970</c:v>
                </c:pt>
                <c:pt idx="2">
                  <c:v>237305</c:v>
                </c:pt>
                <c:pt idx="3">
                  <c:v>394085</c:v>
                </c:pt>
                <c:pt idx="4">
                  <c:v>601955</c:v>
                </c:pt>
                <c:pt idx="5">
                  <c:v>400345</c:v>
                </c:pt>
                <c:pt idx="6">
                  <c:v>413270</c:v>
                </c:pt>
                <c:pt idx="7">
                  <c:v>212490</c:v>
                </c:pt>
                <c:pt idx="8">
                  <c:v>292365</c:v>
                </c:pt>
                <c:pt idx="9">
                  <c:v>275070</c:v>
                </c:pt>
                <c:pt idx="10">
                  <c:v>264300</c:v>
                </c:pt>
                <c:pt idx="11">
                  <c:v>115925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99-4DE2-A521-93A6E7AB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(2024)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INR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Revenue &amp; Profit by Flavour (INR)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PT2_Flavour_Value!$B$4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rgbClr val="2F6DB5"/>
            </a:solidFill>
            <a:ln>
              <a:prstDash val="solid"/>
            </a:ln>
          </c:spPr>
          <c:invertIfNegative val="1"/>
          <c:cat>
            <c:strRef>
              <c:f>PT2_Flavour_Value!$A$5:$A$10</c:f>
              <c:strCache>
                <c:ptCount val="6"/>
                <c:pt idx="0">
                  <c:v>Flavour</c:v>
                </c:pt>
                <c:pt idx="1">
                  <c:v>Chocolate</c:v>
                </c:pt>
                <c:pt idx="2">
                  <c:v>Vanilla</c:v>
                </c:pt>
                <c:pt idx="3">
                  <c:v>Mango</c:v>
                </c:pt>
                <c:pt idx="4">
                  <c:v>Strawberry</c:v>
                </c:pt>
                <c:pt idx="5">
                  <c:v>Kesar Pista</c:v>
                </c:pt>
              </c:strCache>
            </c:strRef>
          </c:cat>
          <c:val>
            <c:numRef>
              <c:f>PT2_Flavour_Value!$B$5:$B$10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1962000</c:v>
                </c:pt>
                <c:pt idx="2">
                  <c:v>1555520</c:v>
                </c:pt>
                <c:pt idx="3">
                  <c:v>1276440</c:v>
                </c:pt>
                <c:pt idx="4">
                  <c:v>1119870</c:v>
                </c:pt>
                <c:pt idx="5">
                  <c:v>1046370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DF-4871-A456-CA0E284F6E0C}"/>
            </c:ext>
          </c:extLst>
        </c:ser>
        <c:ser>
          <c:idx val="1"/>
          <c:order val="1"/>
          <c:tx>
            <c:strRef>
              <c:f>PT2_Flavour_Value!$C$4</c:f>
              <c:strCache>
                <c:ptCount val="1"/>
              </c:strCache>
            </c:strRef>
          </c:tx>
          <c:spPr>
            <a:solidFill>
              <a:srgbClr val="E8833A"/>
            </a:solidFill>
            <a:ln>
              <a:prstDash val="solid"/>
            </a:ln>
          </c:spPr>
          <c:invertIfNegative val="1"/>
          <c:cat>
            <c:strRef>
              <c:f>PT2_Flavour_Value!$A$5:$A$10</c:f>
              <c:strCache>
                <c:ptCount val="6"/>
                <c:pt idx="0">
                  <c:v>Flavour</c:v>
                </c:pt>
                <c:pt idx="1">
                  <c:v>Chocolate</c:v>
                </c:pt>
                <c:pt idx="2">
                  <c:v>Vanilla</c:v>
                </c:pt>
                <c:pt idx="3">
                  <c:v>Mango</c:v>
                </c:pt>
                <c:pt idx="4">
                  <c:v>Strawberry</c:v>
                </c:pt>
                <c:pt idx="5">
                  <c:v>Kesar Pista</c:v>
                </c:pt>
              </c:strCache>
            </c:strRef>
          </c:cat>
          <c:val>
            <c:numRef>
              <c:f>PT2_Flavour_Value!$C$5:$C$10</c:f>
              <c:numCache>
                <c:formatCode>#,##0</c:formatCode>
                <c:ptCount val="6"/>
                <c:pt idx="0" formatCode="General">
                  <c:v>0</c:v>
                </c:pt>
                <c:pt idx="1">
                  <c:v>882900</c:v>
                </c:pt>
                <c:pt idx="2">
                  <c:v>680540</c:v>
                </c:pt>
                <c:pt idx="3">
                  <c:v>580200</c:v>
                </c:pt>
                <c:pt idx="4">
                  <c:v>497720</c:v>
                </c:pt>
                <c:pt idx="5">
                  <c:v>482940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DF-4871-A456-CA0E284F6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Flavour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INR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Units Sold by Flavour (volume rank)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PT3_Flavour_Volume!$B$4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rgbClr val="59A14F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PT3_Flavour_Volume!$A$5:$A$10</c:f>
              <c:strCache>
                <c:ptCount val="6"/>
                <c:pt idx="0">
                  <c:v>Chocolate</c:v>
                </c:pt>
                <c:pt idx="1">
                  <c:v>Vanilla</c:v>
                </c:pt>
                <c:pt idx="2">
                  <c:v>Strawberry</c:v>
                </c:pt>
                <c:pt idx="3">
                  <c:v>Mango</c:v>
                </c:pt>
                <c:pt idx="4">
                  <c:v>Butterscotch</c:v>
                </c:pt>
                <c:pt idx="5">
                  <c:v>Kesar Pista</c:v>
                </c:pt>
              </c:strCache>
            </c:strRef>
          </c:cat>
          <c:val>
            <c:numRef>
              <c:f>PT3_Flavour_Volume!$B$5:$B$10</c:f>
              <c:numCache>
                <c:formatCode>#,##0</c:formatCode>
                <c:ptCount val="6"/>
                <c:pt idx="0">
                  <c:v>19620</c:v>
                </c:pt>
                <c:pt idx="1">
                  <c:v>19444</c:v>
                </c:pt>
                <c:pt idx="2">
                  <c:v>12443</c:v>
                </c:pt>
                <c:pt idx="3">
                  <c:v>11604</c:v>
                </c:pt>
                <c:pt idx="4">
                  <c:v>8293</c:v>
                </c:pt>
                <c:pt idx="5">
                  <c:v>8049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2D-45E3-97A8-71D11C2C3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Flavour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Units sold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t>Revenue &amp; Profit by City (INR)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PT4_City!$B$4</c:f>
              <c:strCache>
                <c:ptCount val="1"/>
                <c:pt idx="0">
                  <c:v>Values</c:v>
                </c:pt>
              </c:strCache>
            </c:strRef>
          </c:tx>
          <c:spPr>
            <a:solidFill>
              <a:srgbClr val="2F6DB5"/>
            </a:solidFill>
            <a:ln>
              <a:prstDash val="solid"/>
            </a:ln>
          </c:spPr>
          <c:invertIfNegative val="1"/>
          <c:cat>
            <c:strRef>
              <c:f>PT4_City!$A$5:$A$8</c:f>
              <c:strCache>
                <c:ptCount val="4"/>
                <c:pt idx="0">
                  <c:v>City</c:v>
                </c:pt>
                <c:pt idx="1">
                  <c:v>Mumbai</c:v>
                </c:pt>
                <c:pt idx="2">
                  <c:v>Pune</c:v>
                </c:pt>
                <c:pt idx="3">
                  <c:v>Delhi</c:v>
                </c:pt>
              </c:strCache>
            </c:strRef>
          </c:cat>
          <c:val>
            <c:numRef>
              <c:f>PT4_City!$B$5:$B$8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2612250</c:v>
                </c:pt>
                <c:pt idx="2">
                  <c:v>1847310</c:v>
                </c:pt>
                <c:pt idx="3">
                  <c:v>1669610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D81-4900-9EB8-A5C5C7C7E738}"/>
            </c:ext>
          </c:extLst>
        </c:ser>
        <c:ser>
          <c:idx val="1"/>
          <c:order val="1"/>
          <c:tx>
            <c:strRef>
              <c:f>PT4_City!$C$4</c:f>
              <c:strCache>
                <c:ptCount val="1"/>
              </c:strCache>
            </c:strRef>
          </c:tx>
          <c:spPr>
            <a:solidFill>
              <a:srgbClr val="E8833A"/>
            </a:solidFill>
            <a:ln>
              <a:prstDash val="solid"/>
            </a:ln>
          </c:spPr>
          <c:invertIfNegative val="1"/>
          <c:cat>
            <c:strRef>
              <c:f>PT4_City!$A$5:$A$8</c:f>
              <c:strCache>
                <c:ptCount val="4"/>
                <c:pt idx="0">
                  <c:v>City</c:v>
                </c:pt>
                <c:pt idx="1">
                  <c:v>Mumbai</c:v>
                </c:pt>
                <c:pt idx="2">
                  <c:v>Pune</c:v>
                </c:pt>
                <c:pt idx="3">
                  <c:v>Delhi</c:v>
                </c:pt>
              </c:strCache>
            </c:strRef>
          </c:cat>
          <c:val>
            <c:numRef>
              <c:f>PT4_City!$C$5:$C$8</c:f>
              <c:numCache>
                <c:formatCode>#,##0</c:formatCode>
                <c:ptCount val="4"/>
                <c:pt idx="0" formatCode="General">
                  <c:v>0</c:v>
                </c:pt>
                <c:pt idx="1">
                  <c:v>1172775</c:v>
                </c:pt>
                <c:pt idx="2">
                  <c:v>828310</c:v>
                </c:pt>
                <c:pt idx="3">
                  <c:v>750500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81-4900-9EB8-A5C5C7C7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INR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City, stacked by Flavour (INR)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PT5_City_x_Flavour!$B$5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rgbClr val="6B4226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PT5_City_x_Flavour!$B$6:$B$9</c:f>
              <c:numCache>
                <c:formatCode>#,##0</c:formatCode>
                <c:ptCount val="4"/>
                <c:pt idx="0">
                  <c:v>686000</c:v>
                </c:pt>
                <c:pt idx="1">
                  <c:v>509500</c:v>
                </c:pt>
                <c:pt idx="2">
                  <c:v>372300</c:v>
                </c:pt>
                <c:pt idx="3">
                  <c:v>394200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70-4791-B62E-91246A2EB675}"/>
            </c:ext>
          </c:extLst>
        </c:ser>
        <c:ser>
          <c:idx val="1"/>
          <c:order val="1"/>
          <c:tx>
            <c:strRef>
              <c:f>PT5_City_x_Flavour!$C$5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rgbClr val="E5C100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PT5_City_x_Flavour!$C$6:$C$9</c:f>
              <c:numCache>
                <c:formatCode>#,##0</c:formatCode>
                <c:ptCount val="4"/>
                <c:pt idx="0">
                  <c:v>515760</c:v>
                </c:pt>
                <c:pt idx="1">
                  <c:v>386320</c:v>
                </c:pt>
                <c:pt idx="2">
                  <c:v>292880</c:v>
                </c:pt>
                <c:pt idx="3">
                  <c:v>360560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70-4791-B62E-91246A2EB675}"/>
            </c:ext>
          </c:extLst>
        </c:ser>
        <c:ser>
          <c:idx val="2"/>
          <c:order val="2"/>
          <c:tx>
            <c:strRef>
              <c:f>PT5_City_x_Flavour!$D$5</c:f>
              <c:strCache>
                <c:ptCount val="1"/>
                <c:pt idx="0">
                  <c:v>Mango</c:v>
                </c:pt>
              </c:strCache>
            </c:strRef>
          </c:tx>
          <c:spPr>
            <a:solidFill>
              <a:srgbClr val="F28E2B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PT5_City_x_Flavour!$D$6:$D$9</c:f>
              <c:numCache>
                <c:formatCode>#,##0</c:formatCode>
                <c:ptCount val="4"/>
                <c:pt idx="0">
                  <c:v>379610</c:v>
                </c:pt>
                <c:pt idx="1">
                  <c:v>285120</c:v>
                </c:pt>
                <c:pt idx="2">
                  <c:v>299420</c:v>
                </c:pt>
                <c:pt idx="3">
                  <c:v>312290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170-4791-B62E-91246A2EB675}"/>
            </c:ext>
          </c:extLst>
        </c:ser>
        <c:ser>
          <c:idx val="3"/>
          <c:order val="3"/>
          <c:tx>
            <c:strRef>
              <c:f>PT5_City_x_Flavour!$E$5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rgbClr val="E15759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PT5_City_x_Flavour!$E$6:$E$9</c:f>
              <c:numCache>
                <c:formatCode>#,##0</c:formatCode>
                <c:ptCount val="4"/>
                <c:pt idx="0">
                  <c:v>387000</c:v>
                </c:pt>
                <c:pt idx="1">
                  <c:v>257310</c:v>
                </c:pt>
                <c:pt idx="2">
                  <c:v>288720</c:v>
                </c:pt>
                <c:pt idx="3">
                  <c:v>186840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170-4791-B62E-91246A2EB675}"/>
            </c:ext>
          </c:extLst>
        </c:ser>
        <c:ser>
          <c:idx val="4"/>
          <c:order val="4"/>
          <c:tx>
            <c:strRef>
              <c:f>PT5_City_x_Flavour!$F$5</c:f>
              <c:strCache>
                <c:ptCount val="1"/>
                <c:pt idx="0">
                  <c:v>Kesar Pista</c:v>
                </c:pt>
              </c:strCache>
            </c:strRef>
          </c:tx>
          <c:spPr>
            <a:solidFill>
              <a:srgbClr val="59A14F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PT5_City_x_Flavour!$F$6:$F$9</c:f>
              <c:numCache>
                <c:formatCode>#,##0</c:formatCode>
                <c:ptCount val="4"/>
                <c:pt idx="0">
                  <c:v>358280</c:v>
                </c:pt>
                <c:pt idx="1">
                  <c:v>171860</c:v>
                </c:pt>
                <c:pt idx="2">
                  <c:v>266890</c:v>
                </c:pt>
                <c:pt idx="3">
                  <c:v>249340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170-4791-B62E-91246A2EB675}"/>
            </c:ext>
          </c:extLst>
        </c:ser>
        <c:ser>
          <c:idx val="5"/>
          <c:order val="5"/>
          <c:tx>
            <c:strRef>
              <c:f>PT5_City_x_Flavour!$G$5</c:f>
              <c:strCache>
                <c:ptCount val="1"/>
                <c:pt idx="0">
                  <c:v>Butterscotch</c:v>
                </c:pt>
              </c:strCache>
            </c:strRef>
          </c:tx>
          <c:spPr>
            <a:solidFill>
              <a:srgbClr val="B07AA1"/>
            </a:solidFill>
            <a:ln>
              <a:prstDash val="solid"/>
            </a:ln>
          </c:spPr>
          <c:invertIfNegative val="1"/>
          <c:cat>
            <c:strRef>
              <c:f>PT5_City_x_Flavour!$A$6:$A$9</c:f>
              <c:strCache>
                <c:ptCount val="4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Bengaluru</c:v>
                </c:pt>
              </c:strCache>
            </c:strRef>
          </c:cat>
          <c:val>
            <c:numRef>
              <c:f>PT5_City_x_Flavour!$G$6:$G$9</c:f>
              <c:numCache>
                <c:formatCode>#,##0</c:formatCode>
                <c:ptCount val="4"/>
                <c:pt idx="0">
                  <c:v>285600</c:v>
                </c:pt>
                <c:pt idx="1">
                  <c:v>237200</c:v>
                </c:pt>
                <c:pt idx="2">
                  <c:v>149400</c:v>
                </c:pt>
                <c:pt idx="3">
                  <c:v>157100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170-4791-B62E-91246A2EB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Share of Revenue by Channel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PT6_Channel!$B$4</c:f>
              <c:strCache>
                <c:ptCount val="1"/>
                <c:pt idx="0">
                  <c:v>Revenue (INR)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F6DB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19-4345-AEA5-A4A158E0BF61}"/>
              </c:ext>
            </c:extLst>
          </c:dPt>
          <c:dPt>
            <c:idx val="1"/>
            <c:bubble3D val="0"/>
            <c:spPr>
              <a:solidFill>
                <a:srgbClr val="E8833A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19-4345-AEA5-A4A158E0BF61}"/>
              </c:ext>
            </c:extLst>
          </c:dPt>
          <c:dPt>
            <c:idx val="2"/>
            <c:bubble3D val="0"/>
            <c:spPr>
              <a:solidFill>
                <a:srgbClr val="76B7B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19-4345-AEA5-A4A158E0BF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PT6_Channel!$A$5:$A$7</c:f>
              <c:strCache>
                <c:ptCount val="3"/>
                <c:pt idx="0">
                  <c:v>In-Store</c:v>
                </c:pt>
                <c:pt idx="1">
                  <c:v>Online Delivery</c:v>
                </c:pt>
                <c:pt idx="2">
                  <c:v>Kiosk</c:v>
                </c:pt>
              </c:strCache>
            </c:strRef>
          </c:cat>
          <c:val>
            <c:numRef>
              <c:f>PT6_Channel!$B$5:$B$7</c:f>
              <c:numCache>
                <c:formatCode>#,##0</c:formatCode>
                <c:ptCount val="3"/>
                <c:pt idx="0">
                  <c:v>3845500</c:v>
                </c:pt>
                <c:pt idx="1">
                  <c:v>2908380</c:v>
                </c:pt>
                <c:pt idx="2">
                  <c:v>1035620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19-4345-AEA5-A4A158E0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9361578947368416"/>
          <c:y val="0.39927485380116962"/>
          <c:w val="0.19524385964912283"/>
          <c:h val="0.2720055555555556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Quarterly Revenue by Channel (INR)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PT7_Qtr_x_Channel!$B$5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rgbClr val="2F6DB5"/>
            </a:solidFill>
            <a:ln>
              <a:prstDash val="solid"/>
            </a:ln>
          </c:spPr>
          <c:invertIfNegative val="1"/>
          <c:cat>
            <c:strRef>
              <c:f>PT7_Qtr_x_Channel!$A$6:$A$9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PT7_Qtr_x_Channel!$B$6:$B$9</c:f>
              <c:numCache>
                <c:formatCode>#,##0</c:formatCode>
                <c:ptCount val="4"/>
                <c:pt idx="0">
                  <c:v>799270</c:v>
                </c:pt>
                <c:pt idx="1">
                  <c:v>1536320</c:v>
                </c:pt>
                <c:pt idx="2">
                  <c:v>869830</c:v>
                </c:pt>
                <c:pt idx="3">
                  <c:v>640080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526-46C0-B5D2-EC2527B3FEBF}"/>
            </c:ext>
          </c:extLst>
        </c:ser>
        <c:ser>
          <c:idx val="1"/>
          <c:order val="1"/>
          <c:tx>
            <c:strRef>
              <c:f>PT7_Qtr_x_Channel!$C$5</c:f>
              <c:strCache>
                <c:ptCount val="1"/>
                <c:pt idx="0">
                  <c:v>Online Delivery</c:v>
                </c:pt>
              </c:strCache>
            </c:strRef>
          </c:tx>
          <c:spPr>
            <a:solidFill>
              <a:srgbClr val="E8833A"/>
            </a:solidFill>
            <a:ln>
              <a:prstDash val="solid"/>
            </a:ln>
          </c:spPr>
          <c:invertIfNegative val="1"/>
          <c:cat>
            <c:strRef>
              <c:f>PT7_Qtr_x_Channel!$A$6:$A$9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PT7_Qtr_x_Channel!$C$6:$C$9</c:f>
              <c:numCache>
                <c:formatCode>#,##0</c:formatCode>
                <c:ptCount val="4"/>
                <c:pt idx="0">
                  <c:v>645170</c:v>
                </c:pt>
                <c:pt idx="1">
                  <c:v>1269520</c:v>
                </c:pt>
                <c:pt idx="2">
                  <c:v>606020</c:v>
                </c:pt>
                <c:pt idx="3">
                  <c:v>387670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526-46C0-B5D2-EC2527B3FEBF}"/>
            </c:ext>
          </c:extLst>
        </c:ser>
        <c:ser>
          <c:idx val="2"/>
          <c:order val="2"/>
          <c:tx>
            <c:strRef>
              <c:f>PT7_Qtr_x_Channel!$D$5</c:f>
              <c:strCache>
                <c:ptCount val="1"/>
                <c:pt idx="0">
                  <c:v>Kiosk</c:v>
                </c:pt>
              </c:strCache>
            </c:strRef>
          </c:tx>
          <c:spPr>
            <a:solidFill>
              <a:srgbClr val="76B7B2"/>
            </a:solidFill>
            <a:ln>
              <a:prstDash val="solid"/>
            </a:ln>
          </c:spPr>
          <c:invertIfNegative val="1"/>
          <c:cat>
            <c:strRef>
              <c:f>PT7_Qtr_x_Channel!$A$6:$A$9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PT7_Qtr_x_Channel!$D$6:$D$9</c:f>
              <c:numCache>
                <c:formatCode>#,##0</c:formatCode>
                <c:ptCount val="4"/>
                <c:pt idx="0">
                  <c:v>275400</c:v>
                </c:pt>
                <c:pt idx="1">
                  <c:v>347430</c:v>
                </c:pt>
                <c:pt idx="2">
                  <c:v>262390</c:v>
                </c:pt>
                <c:pt idx="3">
                  <c:v>150400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526-46C0-B5D2-EC2527B3F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 (2024)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Avg Units per Transaction by Temperature Band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PT8_Temperature!$B$4</c:f>
              <c:strCache>
                <c:ptCount val="1"/>
                <c:pt idx="0">
                  <c:v>Avg Units per Transaction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PT8_Temperature!$A$5:$A$8</c:f>
              <c:strCache>
                <c:ptCount val="4"/>
                <c:pt idx="0">
                  <c:v>Cool (&lt;=24C)</c:v>
                </c:pt>
                <c:pt idx="1">
                  <c:v>Mild (25-30C)</c:v>
                </c:pt>
                <c:pt idx="2">
                  <c:v>Hot (31-35C)</c:v>
                </c:pt>
                <c:pt idx="3">
                  <c:v>Very hot (&gt;=36C)</c:v>
                </c:pt>
              </c:strCache>
            </c:strRef>
          </c:cat>
          <c:val>
            <c:numRef>
              <c:f>PT8_Temperature!$B$5:$B$8</c:f>
              <c:numCache>
                <c:formatCode>0.00</c:formatCode>
                <c:ptCount val="4"/>
                <c:pt idx="0">
                  <c:v>35.213903743315505</c:v>
                </c:pt>
                <c:pt idx="1">
                  <c:v>61.871886120996443</c:v>
                </c:pt>
                <c:pt idx="2">
                  <c:v>91.218562874251504</c:v>
                </c:pt>
                <c:pt idx="3">
                  <c:v>126.33838383838383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80-4099-909C-025E4AE21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band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 units / transaction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Total Revenue by Flavour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&amp; Charts'!$C$10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&amp; Charts'!$A$11:$A$16</c:f>
              <c:strCache>
                <c:ptCount val="6"/>
                <c:pt idx="0">
                  <c:v>Mango</c:v>
                </c:pt>
                <c:pt idx="1">
                  <c:v>Vanilla</c:v>
                </c:pt>
                <c:pt idx="2">
                  <c:v>Kesar Pista</c:v>
                </c:pt>
                <c:pt idx="3">
                  <c:v>Strawberry</c:v>
                </c:pt>
                <c:pt idx="4">
                  <c:v>Butterscotch</c:v>
                </c:pt>
                <c:pt idx="5">
                  <c:v>Chocolate</c:v>
                </c:pt>
              </c:strCache>
            </c:strRef>
          </c:cat>
          <c:val>
            <c:numRef>
              <c:f>'Dashboard &amp; Charts'!$C$11:$C$16</c:f>
              <c:numCache>
                <c:formatCode>\₹#,##0</c:formatCode>
                <c:ptCount val="6"/>
                <c:pt idx="0">
                  <c:v>1276440</c:v>
                </c:pt>
                <c:pt idx="1">
                  <c:v>1555520</c:v>
                </c:pt>
                <c:pt idx="2">
                  <c:v>1046370</c:v>
                </c:pt>
                <c:pt idx="3">
                  <c:v>1119870</c:v>
                </c:pt>
                <c:pt idx="4">
                  <c:v>829300</c:v>
                </c:pt>
                <c:pt idx="5">
                  <c:v>1962000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C-40CC-8918-6A7B35429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Flavour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Units Sold Share by Flavour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&amp; Charts'!$B$10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&amp; Charts'!$A$11:$A$16</c:f>
              <c:strCache>
                <c:ptCount val="6"/>
                <c:pt idx="0">
                  <c:v>Mango</c:v>
                </c:pt>
                <c:pt idx="1">
                  <c:v>Vanilla</c:v>
                </c:pt>
                <c:pt idx="2">
                  <c:v>Kesar Pista</c:v>
                </c:pt>
                <c:pt idx="3">
                  <c:v>Strawberry</c:v>
                </c:pt>
                <c:pt idx="4">
                  <c:v>Butterscotch</c:v>
                </c:pt>
                <c:pt idx="5">
                  <c:v>Chocolate</c:v>
                </c:pt>
              </c:strCache>
            </c:strRef>
          </c:cat>
          <c:val>
            <c:numRef>
              <c:f>'Dashboard &amp; Charts'!$B$11:$B$16</c:f>
              <c:numCache>
                <c:formatCode>#,##0</c:formatCode>
                <c:ptCount val="6"/>
                <c:pt idx="0">
                  <c:v>11604</c:v>
                </c:pt>
                <c:pt idx="1">
                  <c:v>19444</c:v>
                </c:pt>
                <c:pt idx="2">
                  <c:v>8049</c:v>
                </c:pt>
                <c:pt idx="3">
                  <c:v>12443</c:v>
                </c:pt>
                <c:pt idx="4">
                  <c:v>8293</c:v>
                </c:pt>
                <c:pt idx="5">
                  <c:v>19620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2-447A-AA9C-617EC3B76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City (₹)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&amp; Charts'!$B$20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&amp; Charts'!$A$21:$A$24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Pune</c:v>
                </c:pt>
                <c:pt idx="3">
                  <c:v>Bengaluru</c:v>
                </c:pt>
              </c:strCache>
            </c:strRef>
          </c:cat>
          <c:val>
            <c:numRef>
              <c:f>'Dashboard &amp; Charts'!$B$21:$B$24</c:f>
              <c:numCache>
                <c:formatCode>\₹#,##0</c:formatCode>
                <c:ptCount val="4"/>
                <c:pt idx="0">
                  <c:v>2612250</c:v>
                </c:pt>
                <c:pt idx="1">
                  <c:v>1669610</c:v>
                </c:pt>
                <c:pt idx="2">
                  <c:v>1847310</c:v>
                </c:pt>
                <c:pt idx="3">
                  <c:v>1660330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A-4D8F-97C3-3FEB5281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(INR)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3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50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04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305.555797453701" createdVersion="6" refreshedVersion="8" minRefreshableVersion="3" recordCount="1000" xr:uid="{00000000-000A-0000-FFFF-FFFF01000000}">
  <cacheSource type="worksheet">
    <worksheetSource ref="A1:N1001" sheet="Clean_Data"/>
  </cacheSource>
  <cacheFields count="14">
    <cacheField name="Date" numFmtId="164">
      <sharedItems containsSemiMixedTypes="0" containsNonDate="0" containsDate="1" containsString="0" minDate="2024-01-01T00:00:00" maxDate="2025-01-01T00:00:00"/>
    </cacheField>
    <cacheField name="City" numFmtId="0">
      <sharedItems count="4">
        <s v="Mumbai"/>
        <s v="Delhi"/>
        <s v="Pune"/>
        <s v="Bengaluru"/>
      </sharedItems>
    </cacheField>
    <cacheField name="Flavour" numFmtId="0">
      <sharedItems count="6">
        <s v="Mango"/>
        <s v="Vanilla"/>
        <s v="Kesar Pista"/>
        <s v="Strawberry"/>
        <s v="Butterscotch"/>
        <s v="Chocolate"/>
      </sharedItems>
    </cacheField>
    <cacheField name="Channel" numFmtId="0">
      <sharedItems count="3">
        <s v="Online Delivery"/>
        <s v="Kiosk"/>
        <s v="In-Store"/>
      </sharedItems>
    </cacheField>
    <cacheField name="Temperature_C" numFmtId="0">
      <sharedItems containsSemiMixedTypes="0" containsString="0" containsNumber="1" containsInteger="1" minValue="18" maxValue="41"/>
    </cacheField>
    <cacheField name="Units_Sold" numFmtId="0">
      <sharedItems containsSemiMixedTypes="0" containsString="0" containsNumber="1" containsInteger="1" minValue="10" maxValue="198"/>
    </cacheField>
    <cacheField name="Unit_Price_INR" numFmtId="0">
      <sharedItems containsSemiMixedTypes="0" containsString="0" containsNumber="1" containsInteger="1" minValue="80" maxValue="130"/>
    </cacheField>
    <cacheField name="Unit_Cost_INR" numFmtId="0">
      <sharedItems containsSemiMixedTypes="0" containsString="0" containsNumber="1" containsInteger="1" minValue="45" maxValue="70"/>
    </cacheField>
    <cacheField name="Revenue_INR" numFmtId="3">
      <sharedItems containsSemiMixedTypes="0" containsString="0" containsNumber="1" containsInteger="1" minValue="880" maxValue="25480"/>
    </cacheField>
    <cacheField name="Cost_INR" numFmtId="3">
      <sharedItems containsSemiMixedTypes="0" containsString="0" containsNumber="1" containsInteger="1" minValue="495" maxValue="13720"/>
    </cacheField>
    <cacheField name="Profit_INR" numFmtId="3">
      <sharedItems containsSemiMixedTypes="0" containsString="0" containsNumber="1" containsInteger="1" minValue="385" maxValue="11760"/>
    </cacheField>
    <cacheField name="Month" numFmtId="0">
      <sharedItems count="12">
        <s v="Apr"/>
        <s v="May"/>
        <s v="Jul"/>
        <s v="Dec"/>
        <s v="Nov"/>
        <s v="Sep"/>
        <s v="Feb"/>
        <s v="Aug"/>
        <s v="Mar"/>
        <s v="Oct"/>
        <s v="Jan"/>
        <s v="Jun"/>
      </sharedItems>
    </cacheField>
    <cacheField name="Quarter" numFmtId="0">
      <sharedItems count="4">
        <s v="Q2"/>
        <s v="Q3"/>
        <s v="Q4"/>
        <s v="Q1"/>
      </sharedItems>
    </cacheField>
    <cacheField name="Temp_Band" numFmtId="0">
      <sharedItems count="4">
        <s v="Very hot (&gt;=36C)"/>
        <s v="Hot (31-35C)"/>
        <s v="Mild (25-30C)"/>
        <s v="Cool (&lt;=24C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24-04-12T00:00:00"/>
    <x v="0"/>
    <x v="0"/>
    <x v="0"/>
    <n v="38"/>
    <n v="70"/>
    <n v="110"/>
    <n v="60"/>
    <n v="7700"/>
    <n v="4200"/>
    <n v="3500"/>
    <x v="0"/>
    <x v="0"/>
    <x v="0"/>
  </r>
  <r>
    <d v="2024-05-01T00:00:00"/>
    <x v="0"/>
    <x v="1"/>
    <x v="1"/>
    <n v="39"/>
    <n v="149"/>
    <n v="80"/>
    <n v="45"/>
    <n v="11920"/>
    <n v="6705"/>
    <n v="5215"/>
    <x v="1"/>
    <x v="0"/>
    <x v="0"/>
  </r>
  <r>
    <d v="2024-05-31T00:00:00"/>
    <x v="0"/>
    <x v="0"/>
    <x v="0"/>
    <n v="33"/>
    <n v="87"/>
    <n v="110"/>
    <n v="60"/>
    <n v="9570"/>
    <n v="5220"/>
    <n v="4350"/>
    <x v="1"/>
    <x v="0"/>
    <x v="1"/>
  </r>
  <r>
    <d v="2024-07-10T00:00:00"/>
    <x v="1"/>
    <x v="2"/>
    <x v="0"/>
    <n v="28"/>
    <n v="78"/>
    <n v="130"/>
    <n v="70"/>
    <n v="10140"/>
    <n v="5460"/>
    <n v="4680"/>
    <x v="2"/>
    <x v="1"/>
    <x v="2"/>
  </r>
  <r>
    <d v="2024-12-29T00:00:00"/>
    <x v="2"/>
    <x v="3"/>
    <x v="2"/>
    <n v="22"/>
    <n v="16"/>
    <n v="90"/>
    <n v="50"/>
    <n v="1440"/>
    <n v="800"/>
    <n v="640"/>
    <x v="3"/>
    <x v="2"/>
    <x v="3"/>
  </r>
  <r>
    <d v="2024-11-24T00:00:00"/>
    <x v="3"/>
    <x v="1"/>
    <x v="1"/>
    <n v="27"/>
    <n v="59"/>
    <n v="80"/>
    <n v="45"/>
    <n v="4720"/>
    <n v="2655"/>
    <n v="2065"/>
    <x v="4"/>
    <x v="2"/>
    <x v="2"/>
  </r>
  <r>
    <d v="2024-09-21T00:00:00"/>
    <x v="0"/>
    <x v="1"/>
    <x v="2"/>
    <n v="32"/>
    <n v="89"/>
    <n v="80"/>
    <n v="45"/>
    <n v="7120"/>
    <n v="4005"/>
    <n v="3115"/>
    <x v="5"/>
    <x v="1"/>
    <x v="1"/>
  </r>
  <r>
    <d v="2024-09-20T00:00:00"/>
    <x v="3"/>
    <x v="1"/>
    <x v="2"/>
    <n v="27"/>
    <n v="33"/>
    <n v="80"/>
    <n v="45"/>
    <n v="2640"/>
    <n v="1485"/>
    <n v="1155"/>
    <x v="5"/>
    <x v="1"/>
    <x v="2"/>
  </r>
  <r>
    <d v="2024-02-23T00:00:00"/>
    <x v="0"/>
    <x v="3"/>
    <x v="1"/>
    <n v="27"/>
    <n v="73"/>
    <n v="90"/>
    <n v="50"/>
    <n v="6570"/>
    <n v="3650"/>
    <n v="2920"/>
    <x v="6"/>
    <x v="3"/>
    <x v="2"/>
  </r>
  <r>
    <d v="2024-07-20T00:00:00"/>
    <x v="2"/>
    <x v="4"/>
    <x v="1"/>
    <n v="32"/>
    <n v="101"/>
    <n v="100"/>
    <n v="55"/>
    <n v="10100"/>
    <n v="5555"/>
    <n v="4545"/>
    <x v="2"/>
    <x v="1"/>
    <x v="1"/>
  </r>
  <r>
    <d v="2024-09-08T00:00:00"/>
    <x v="0"/>
    <x v="1"/>
    <x v="2"/>
    <n v="33"/>
    <n v="82"/>
    <n v="80"/>
    <n v="45"/>
    <n v="6560"/>
    <n v="3690"/>
    <n v="2870"/>
    <x v="5"/>
    <x v="1"/>
    <x v="1"/>
  </r>
  <r>
    <d v="2024-08-04T00:00:00"/>
    <x v="2"/>
    <x v="5"/>
    <x v="2"/>
    <n v="26"/>
    <n v="44"/>
    <n v="100"/>
    <n v="55"/>
    <n v="4400"/>
    <n v="2420"/>
    <n v="1980"/>
    <x v="7"/>
    <x v="1"/>
    <x v="2"/>
  </r>
  <r>
    <d v="2024-12-10T00:00:00"/>
    <x v="1"/>
    <x v="2"/>
    <x v="2"/>
    <n v="20"/>
    <n v="33"/>
    <n v="130"/>
    <n v="70"/>
    <n v="4290"/>
    <n v="2310"/>
    <n v="1980"/>
    <x v="3"/>
    <x v="2"/>
    <x v="3"/>
  </r>
  <r>
    <d v="2024-03-21T00:00:00"/>
    <x v="1"/>
    <x v="0"/>
    <x v="0"/>
    <n v="38"/>
    <n v="90"/>
    <n v="110"/>
    <n v="60"/>
    <n v="9900"/>
    <n v="5400"/>
    <n v="4500"/>
    <x v="8"/>
    <x v="3"/>
    <x v="0"/>
  </r>
  <r>
    <d v="2024-07-19T00:00:00"/>
    <x v="0"/>
    <x v="3"/>
    <x v="2"/>
    <n v="33"/>
    <n v="52"/>
    <n v="90"/>
    <n v="50"/>
    <n v="4680"/>
    <n v="2600"/>
    <n v="2080"/>
    <x v="2"/>
    <x v="1"/>
    <x v="1"/>
  </r>
  <r>
    <d v="2024-10-19T00:00:00"/>
    <x v="1"/>
    <x v="0"/>
    <x v="1"/>
    <n v="28"/>
    <n v="94"/>
    <n v="110"/>
    <n v="60"/>
    <n v="10340"/>
    <n v="5640"/>
    <n v="4700"/>
    <x v="9"/>
    <x v="2"/>
    <x v="2"/>
  </r>
  <r>
    <d v="2024-04-10T00:00:00"/>
    <x v="3"/>
    <x v="2"/>
    <x v="0"/>
    <n v="38"/>
    <n v="191"/>
    <n v="130"/>
    <n v="70"/>
    <n v="24830"/>
    <n v="13370"/>
    <n v="11460"/>
    <x v="0"/>
    <x v="0"/>
    <x v="0"/>
  </r>
  <r>
    <d v="2024-10-09T00:00:00"/>
    <x v="2"/>
    <x v="3"/>
    <x v="2"/>
    <n v="28"/>
    <n v="106"/>
    <n v="90"/>
    <n v="50"/>
    <n v="9540"/>
    <n v="5300"/>
    <n v="4240"/>
    <x v="9"/>
    <x v="2"/>
    <x v="2"/>
  </r>
  <r>
    <d v="2024-03-03T00:00:00"/>
    <x v="2"/>
    <x v="4"/>
    <x v="0"/>
    <n v="36"/>
    <n v="181"/>
    <n v="100"/>
    <n v="55"/>
    <n v="18100"/>
    <n v="9955"/>
    <n v="8145"/>
    <x v="8"/>
    <x v="3"/>
    <x v="0"/>
  </r>
  <r>
    <d v="2024-08-18T00:00:00"/>
    <x v="1"/>
    <x v="5"/>
    <x v="2"/>
    <n v="32"/>
    <n v="61"/>
    <n v="100"/>
    <n v="55"/>
    <n v="6100"/>
    <n v="3355"/>
    <n v="2745"/>
    <x v="7"/>
    <x v="1"/>
    <x v="1"/>
  </r>
  <r>
    <d v="2024-07-05T00:00:00"/>
    <x v="3"/>
    <x v="0"/>
    <x v="0"/>
    <n v="34"/>
    <n v="91"/>
    <n v="110"/>
    <n v="60"/>
    <n v="10010"/>
    <n v="5460"/>
    <n v="4550"/>
    <x v="2"/>
    <x v="1"/>
    <x v="1"/>
  </r>
  <r>
    <d v="2024-05-13T00:00:00"/>
    <x v="0"/>
    <x v="5"/>
    <x v="2"/>
    <n v="41"/>
    <n v="124"/>
    <n v="100"/>
    <n v="55"/>
    <n v="12400"/>
    <n v="6820"/>
    <n v="5580"/>
    <x v="1"/>
    <x v="0"/>
    <x v="0"/>
  </r>
  <r>
    <d v="2024-12-13T00:00:00"/>
    <x v="3"/>
    <x v="5"/>
    <x v="2"/>
    <n v="26"/>
    <n v="36"/>
    <n v="100"/>
    <n v="55"/>
    <n v="3600"/>
    <n v="1980"/>
    <n v="1620"/>
    <x v="3"/>
    <x v="2"/>
    <x v="2"/>
  </r>
  <r>
    <d v="2024-04-25T00:00:00"/>
    <x v="0"/>
    <x v="5"/>
    <x v="2"/>
    <n v="36"/>
    <n v="186"/>
    <n v="100"/>
    <n v="55"/>
    <n v="18600"/>
    <n v="10230"/>
    <n v="8370"/>
    <x v="0"/>
    <x v="0"/>
    <x v="0"/>
  </r>
  <r>
    <d v="2024-08-12T00:00:00"/>
    <x v="0"/>
    <x v="1"/>
    <x v="1"/>
    <n v="33"/>
    <n v="61"/>
    <n v="80"/>
    <n v="45"/>
    <n v="4880"/>
    <n v="2745"/>
    <n v="2135"/>
    <x v="7"/>
    <x v="1"/>
    <x v="1"/>
  </r>
  <r>
    <d v="2024-08-20T00:00:00"/>
    <x v="0"/>
    <x v="5"/>
    <x v="2"/>
    <n v="32"/>
    <n v="41"/>
    <n v="100"/>
    <n v="55"/>
    <n v="4100"/>
    <n v="2255"/>
    <n v="1845"/>
    <x v="7"/>
    <x v="1"/>
    <x v="1"/>
  </r>
  <r>
    <d v="2024-04-22T00:00:00"/>
    <x v="3"/>
    <x v="1"/>
    <x v="2"/>
    <n v="33"/>
    <n v="51"/>
    <n v="80"/>
    <n v="45"/>
    <n v="4080"/>
    <n v="2295"/>
    <n v="1785"/>
    <x v="0"/>
    <x v="0"/>
    <x v="1"/>
  </r>
  <r>
    <d v="2024-08-07T00:00:00"/>
    <x v="0"/>
    <x v="1"/>
    <x v="1"/>
    <n v="27"/>
    <n v="48"/>
    <n v="80"/>
    <n v="45"/>
    <n v="3840"/>
    <n v="2160"/>
    <n v="1680"/>
    <x v="7"/>
    <x v="1"/>
    <x v="2"/>
  </r>
  <r>
    <d v="2024-02-22T00:00:00"/>
    <x v="3"/>
    <x v="5"/>
    <x v="2"/>
    <n v="32"/>
    <n v="97"/>
    <n v="100"/>
    <n v="55"/>
    <n v="9700"/>
    <n v="5335"/>
    <n v="4365"/>
    <x v="6"/>
    <x v="3"/>
    <x v="1"/>
  </r>
  <r>
    <d v="2024-07-21T00:00:00"/>
    <x v="0"/>
    <x v="5"/>
    <x v="0"/>
    <n v="29"/>
    <n v="98"/>
    <n v="100"/>
    <n v="55"/>
    <n v="9800"/>
    <n v="5390"/>
    <n v="4410"/>
    <x v="2"/>
    <x v="1"/>
    <x v="2"/>
  </r>
  <r>
    <d v="2024-04-07T00:00:00"/>
    <x v="2"/>
    <x v="3"/>
    <x v="2"/>
    <n v="40"/>
    <n v="146"/>
    <n v="90"/>
    <n v="50"/>
    <n v="13140"/>
    <n v="7300"/>
    <n v="5840"/>
    <x v="0"/>
    <x v="0"/>
    <x v="0"/>
  </r>
  <r>
    <d v="2024-05-03T00:00:00"/>
    <x v="1"/>
    <x v="3"/>
    <x v="1"/>
    <n v="41"/>
    <n v="196"/>
    <n v="90"/>
    <n v="50"/>
    <n v="17640"/>
    <n v="9800"/>
    <n v="7840"/>
    <x v="1"/>
    <x v="0"/>
    <x v="0"/>
  </r>
  <r>
    <d v="2024-05-26T00:00:00"/>
    <x v="0"/>
    <x v="5"/>
    <x v="1"/>
    <n v="38"/>
    <n v="177"/>
    <n v="100"/>
    <n v="55"/>
    <n v="17700"/>
    <n v="9735"/>
    <n v="7965"/>
    <x v="1"/>
    <x v="0"/>
    <x v="0"/>
  </r>
  <r>
    <d v="2024-12-03T00:00:00"/>
    <x v="1"/>
    <x v="4"/>
    <x v="0"/>
    <n v="24"/>
    <n v="59"/>
    <n v="100"/>
    <n v="55"/>
    <n v="5900"/>
    <n v="3245"/>
    <n v="2655"/>
    <x v="3"/>
    <x v="2"/>
    <x v="3"/>
  </r>
  <r>
    <d v="2024-10-24T00:00:00"/>
    <x v="1"/>
    <x v="5"/>
    <x v="0"/>
    <n v="26"/>
    <n v="89"/>
    <n v="100"/>
    <n v="55"/>
    <n v="8900"/>
    <n v="4895"/>
    <n v="4005"/>
    <x v="9"/>
    <x v="2"/>
    <x v="2"/>
  </r>
  <r>
    <d v="2024-01-02T00:00:00"/>
    <x v="3"/>
    <x v="2"/>
    <x v="0"/>
    <n v="24"/>
    <n v="41"/>
    <n v="130"/>
    <n v="70"/>
    <n v="5330"/>
    <n v="2870"/>
    <n v="2460"/>
    <x v="10"/>
    <x v="3"/>
    <x v="3"/>
  </r>
  <r>
    <d v="2024-01-09T00:00:00"/>
    <x v="1"/>
    <x v="5"/>
    <x v="0"/>
    <n v="25"/>
    <n v="29"/>
    <n v="100"/>
    <n v="55"/>
    <n v="2900"/>
    <n v="1595"/>
    <n v="1305"/>
    <x v="10"/>
    <x v="3"/>
    <x v="2"/>
  </r>
  <r>
    <d v="2024-02-23T00:00:00"/>
    <x v="1"/>
    <x v="0"/>
    <x v="2"/>
    <n v="29"/>
    <n v="101"/>
    <n v="110"/>
    <n v="60"/>
    <n v="11110"/>
    <n v="6060"/>
    <n v="5050"/>
    <x v="6"/>
    <x v="3"/>
    <x v="2"/>
  </r>
  <r>
    <d v="2024-04-13T00:00:00"/>
    <x v="0"/>
    <x v="3"/>
    <x v="2"/>
    <n v="40"/>
    <n v="148"/>
    <n v="90"/>
    <n v="50"/>
    <n v="13320"/>
    <n v="7400"/>
    <n v="5920"/>
    <x v="0"/>
    <x v="0"/>
    <x v="0"/>
  </r>
  <r>
    <d v="2024-12-14T00:00:00"/>
    <x v="0"/>
    <x v="5"/>
    <x v="2"/>
    <n v="26"/>
    <n v="44"/>
    <n v="100"/>
    <n v="55"/>
    <n v="4400"/>
    <n v="2420"/>
    <n v="1980"/>
    <x v="3"/>
    <x v="2"/>
    <x v="2"/>
  </r>
  <r>
    <d v="2024-06-09T00:00:00"/>
    <x v="2"/>
    <x v="1"/>
    <x v="2"/>
    <n v="39"/>
    <n v="177"/>
    <n v="80"/>
    <n v="45"/>
    <n v="14160"/>
    <n v="7965"/>
    <n v="6195"/>
    <x v="11"/>
    <x v="0"/>
    <x v="0"/>
  </r>
  <r>
    <d v="2024-05-14T00:00:00"/>
    <x v="0"/>
    <x v="0"/>
    <x v="0"/>
    <n v="37"/>
    <n v="164"/>
    <n v="110"/>
    <n v="60"/>
    <n v="18040"/>
    <n v="9840"/>
    <n v="8200"/>
    <x v="1"/>
    <x v="0"/>
    <x v="0"/>
  </r>
  <r>
    <d v="2024-01-22T00:00:00"/>
    <x v="3"/>
    <x v="1"/>
    <x v="2"/>
    <n v="19"/>
    <n v="17"/>
    <n v="80"/>
    <n v="45"/>
    <n v="1360"/>
    <n v="765"/>
    <n v="595"/>
    <x v="10"/>
    <x v="3"/>
    <x v="3"/>
  </r>
  <r>
    <d v="2024-10-03T00:00:00"/>
    <x v="2"/>
    <x v="3"/>
    <x v="2"/>
    <n v="28"/>
    <n v="98"/>
    <n v="90"/>
    <n v="50"/>
    <n v="8820"/>
    <n v="4900"/>
    <n v="3920"/>
    <x v="9"/>
    <x v="2"/>
    <x v="2"/>
  </r>
  <r>
    <d v="2024-01-04T00:00:00"/>
    <x v="1"/>
    <x v="1"/>
    <x v="2"/>
    <n v="22"/>
    <n v="37"/>
    <n v="80"/>
    <n v="45"/>
    <n v="2960"/>
    <n v="1665"/>
    <n v="1295"/>
    <x v="10"/>
    <x v="3"/>
    <x v="3"/>
  </r>
  <r>
    <d v="2024-01-06T00:00:00"/>
    <x v="0"/>
    <x v="5"/>
    <x v="1"/>
    <n v="22"/>
    <n v="58"/>
    <n v="100"/>
    <n v="55"/>
    <n v="5800"/>
    <n v="3190"/>
    <n v="2610"/>
    <x v="10"/>
    <x v="3"/>
    <x v="3"/>
  </r>
  <r>
    <d v="2024-04-04T00:00:00"/>
    <x v="3"/>
    <x v="2"/>
    <x v="2"/>
    <n v="33"/>
    <n v="116"/>
    <n v="130"/>
    <n v="70"/>
    <n v="15080"/>
    <n v="8120"/>
    <n v="6960"/>
    <x v="0"/>
    <x v="0"/>
    <x v="1"/>
  </r>
  <r>
    <d v="2024-10-07T00:00:00"/>
    <x v="3"/>
    <x v="5"/>
    <x v="1"/>
    <n v="33"/>
    <n v="75"/>
    <n v="100"/>
    <n v="55"/>
    <n v="7500"/>
    <n v="4125"/>
    <n v="3375"/>
    <x v="9"/>
    <x v="2"/>
    <x v="1"/>
  </r>
  <r>
    <d v="2024-04-23T00:00:00"/>
    <x v="3"/>
    <x v="3"/>
    <x v="2"/>
    <n v="41"/>
    <n v="179"/>
    <n v="90"/>
    <n v="50"/>
    <n v="16110"/>
    <n v="8950"/>
    <n v="7160"/>
    <x v="0"/>
    <x v="0"/>
    <x v="0"/>
  </r>
  <r>
    <d v="2024-09-29T00:00:00"/>
    <x v="0"/>
    <x v="4"/>
    <x v="0"/>
    <n v="32"/>
    <n v="68"/>
    <n v="100"/>
    <n v="55"/>
    <n v="6800"/>
    <n v="3740"/>
    <n v="3060"/>
    <x v="5"/>
    <x v="1"/>
    <x v="1"/>
  </r>
  <r>
    <d v="2024-01-26T00:00:00"/>
    <x v="3"/>
    <x v="4"/>
    <x v="1"/>
    <n v="26"/>
    <n v="16"/>
    <n v="100"/>
    <n v="55"/>
    <n v="1600"/>
    <n v="880"/>
    <n v="720"/>
    <x v="10"/>
    <x v="3"/>
    <x v="2"/>
  </r>
  <r>
    <d v="2024-02-05T00:00:00"/>
    <x v="1"/>
    <x v="0"/>
    <x v="0"/>
    <n v="28"/>
    <n v="45"/>
    <n v="110"/>
    <n v="60"/>
    <n v="4950"/>
    <n v="2700"/>
    <n v="2250"/>
    <x v="6"/>
    <x v="3"/>
    <x v="2"/>
  </r>
  <r>
    <d v="2024-05-22T00:00:00"/>
    <x v="0"/>
    <x v="5"/>
    <x v="0"/>
    <n v="34"/>
    <n v="135"/>
    <n v="100"/>
    <n v="55"/>
    <n v="13500"/>
    <n v="7425"/>
    <n v="6075"/>
    <x v="1"/>
    <x v="0"/>
    <x v="1"/>
  </r>
  <r>
    <d v="2024-06-01T00:00:00"/>
    <x v="3"/>
    <x v="1"/>
    <x v="0"/>
    <n v="37"/>
    <n v="107"/>
    <n v="80"/>
    <n v="45"/>
    <n v="8560"/>
    <n v="4815"/>
    <n v="3745"/>
    <x v="11"/>
    <x v="0"/>
    <x v="0"/>
  </r>
  <r>
    <d v="2024-10-31T00:00:00"/>
    <x v="3"/>
    <x v="1"/>
    <x v="2"/>
    <n v="30"/>
    <n v="89"/>
    <n v="80"/>
    <n v="45"/>
    <n v="7120"/>
    <n v="4005"/>
    <n v="3115"/>
    <x v="9"/>
    <x v="2"/>
    <x v="2"/>
  </r>
  <r>
    <d v="2024-09-20T00:00:00"/>
    <x v="0"/>
    <x v="0"/>
    <x v="0"/>
    <n v="31"/>
    <n v="97"/>
    <n v="110"/>
    <n v="60"/>
    <n v="10670"/>
    <n v="5820"/>
    <n v="4850"/>
    <x v="5"/>
    <x v="1"/>
    <x v="1"/>
  </r>
  <r>
    <d v="2024-12-30T00:00:00"/>
    <x v="2"/>
    <x v="1"/>
    <x v="0"/>
    <n v="21"/>
    <n v="49"/>
    <n v="80"/>
    <n v="45"/>
    <n v="3920"/>
    <n v="2205"/>
    <n v="1715"/>
    <x v="3"/>
    <x v="2"/>
    <x v="3"/>
  </r>
  <r>
    <d v="2024-05-23T00:00:00"/>
    <x v="2"/>
    <x v="2"/>
    <x v="2"/>
    <n v="39"/>
    <n v="194"/>
    <n v="130"/>
    <n v="70"/>
    <n v="25220"/>
    <n v="13580"/>
    <n v="11640"/>
    <x v="1"/>
    <x v="0"/>
    <x v="0"/>
  </r>
  <r>
    <d v="2024-11-14T00:00:00"/>
    <x v="1"/>
    <x v="5"/>
    <x v="2"/>
    <n v="22"/>
    <n v="35"/>
    <n v="100"/>
    <n v="55"/>
    <n v="3500"/>
    <n v="1925"/>
    <n v="1575"/>
    <x v="4"/>
    <x v="2"/>
    <x v="3"/>
  </r>
  <r>
    <d v="2024-11-13T00:00:00"/>
    <x v="1"/>
    <x v="4"/>
    <x v="2"/>
    <n v="19"/>
    <n v="10"/>
    <n v="100"/>
    <n v="55"/>
    <n v="1000"/>
    <n v="550"/>
    <n v="450"/>
    <x v="4"/>
    <x v="2"/>
    <x v="3"/>
  </r>
  <r>
    <d v="2024-04-05T00:00:00"/>
    <x v="1"/>
    <x v="3"/>
    <x v="0"/>
    <n v="32"/>
    <n v="166"/>
    <n v="90"/>
    <n v="50"/>
    <n v="14940"/>
    <n v="8300"/>
    <n v="6640"/>
    <x v="0"/>
    <x v="0"/>
    <x v="1"/>
  </r>
  <r>
    <d v="2024-09-28T00:00:00"/>
    <x v="1"/>
    <x v="3"/>
    <x v="2"/>
    <n v="28"/>
    <n v="96"/>
    <n v="90"/>
    <n v="50"/>
    <n v="8640"/>
    <n v="4800"/>
    <n v="3840"/>
    <x v="5"/>
    <x v="1"/>
    <x v="2"/>
  </r>
  <r>
    <d v="2024-03-26T00:00:00"/>
    <x v="0"/>
    <x v="1"/>
    <x v="2"/>
    <n v="35"/>
    <n v="143"/>
    <n v="80"/>
    <n v="45"/>
    <n v="11440"/>
    <n v="6435"/>
    <n v="5005"/>
    <x v="8"/>
    <x v="3"/>
    <x v="1"/>
  </r>
  <r>
    <d v="2024-07-22T00:00:00"/>
    <x v="1"/>
    <x v="1"/>
    <x v="0"/>
    <n v="30"/>
    <n v="62"/>
    <n v="80"/>
    <n v="45"/>
    <n v="4960"/>
    <n v="2790"/>
    <n v="2170"/>
    <x v="2"/>
    <x v="1"/>
    <x v="2"/>
  </r>
  <r>
    <d v="2024-01-23T00:00:00"/>
    <x v="3"/>
    <x v="1"/>
    <x v="1"/>
    <n v="27"/>
    <n v="40"/>
    <n v="80"/>
    <n v="45"/>
    <n v="3200"/>
    <n v="1800"/>
    <n v="1400"/>
    <x v="10"/>
    <x v="3"/>
    <x v="2"/>
  </r>
  <r>
    <d v="2024-09-06T00:00:00"/>
    <x v="2"/>
    <x v="2"/>
    <x v="0"/>
    <n v="33"/>
    <n v="33"/>
    <n v="130"/>
    <n v="70"/>
    <n v="4290"/>
    <n v="2310"/>
    <n v="1980"/>
    <x v="5"/>
    <x v="1"/>
    <x v="1"/>
  </r>
  <r>
    <d v="2024-12-01T00:00:00"/>
    <x v="0"/>
    <x v="3"/>
    <x v="0"/>
    <n v="21"/>
    <n v="36"/>
    <n v="90"/>
    <n v="50"/>
    <n v="3240"/>
    <n v="1800"/>
    <n v="1440"/>
    <x v="3"/>
    <x v="2"/>
    <x v="3"/>
  </r>
  <r>
    <d v="2024-05-31T00:00:00"/>
    <x v="2"/>
    <x v="0"/>
    <x v="2"/>
    <n v="34"/>
    <n v="150"/>
    <n v="110"/>
    <n v="60"/>
    <n v="16500"/>
    <n v="9000"/>
    <n v="7500"/>
    <x v="1"/>
    <x v="0"/>
    <x v="1"/>
  </r>
  <r>
    <d v="2024-03-05T00:00:00"/>
    <x v="3"/>
    <x v="2"/>
    <x v="2"/>
    <n v="33"/>
    <n v="190"/>
    <n v="130"/>
    <n v="70"/>
    <n v="24700"/>
    <n v="13300"/>
    <n v="11400"/>
    <x v="8"/>
    <x v="3"/>
    <x v="1"/>
  </r>
  <r>
    <d v="2024-09-09T00:00:00"/>
    <x v="1"/>
    <x v="1"/>
    <x v="2"/>
    <n v="27"/>
    <n v="37"/>
    <n v="80"/>
    <n v="45"/>
    <n v="2960"/>
    <n v="1665"/>
    <n v="1295"/>
    <x v="5"/>
    <x v="1"/>
    <x v="2"/>
  </r>
  <r>
    <d v="2024-04-24T00:00:00"/>
    <x v="0"/>
    <x v="5"/>
    <x v="0"/>
    <n v="39"/>
    <n v="124"/>
    <n v="100"/>
    <n v="55"/>
    <n v="12400"/>
    <n v="6820"/>
    <n v="5580"/>
    <x v="0"/>
    <x v="0"/>
    <x v="0"/>
  </r>
  <r>
    <d v="2024-08-04T00:00:00"/>
    <x v="0"/>
    <x v="4"/>
    <x v="2"/>
    <n v="33"/>
    <n v="102"/>
    <n v="100"/>
    <n v="55"/>
    <n v="10200"/>
    <n v="5610"/>
    <n v="4590"/>
    <x v="7"/>
    <x v="1"/>
    <x v="1"/>
  </r>
  <r>
    <d v="2024-07-10T00:00:00"/>
    <x v="1"/>
    <x v="3"/>
    <x v="2"/>
    <n v="32"/>
    <n v="53"/>
    <n v="90"/>
    <n v="50"/>
    <n v="4770"/>
    <n v="2650"/>
    <n v="2120"/>
    <x v="2"/>
    <x v="1"/>
    <x v="1"/>
  </r>
  <r>
    <d v="2024-07-08T00:00:00"/>
    <x v="0"/>
    <x v="3"/>
    <x v="0"/>
    <n v="34"/>
    <n v="52"/>
    <n v="90"/>
    <n v="50"/>
    <n v="4680"/>
    <n v="2600"/>
    <n v="2080"/>
    <x v="2"/>
    <x v="1"/>
    <x v="1"/>
  </r>
  <r>
    <d v="2024-12-20T00:00:00"/>
    <x v="3"/>
    <x v="1"/>
    <x v="0"/>
    <n v="26"/>
    <n v="57"/>
    <n v="80"/>
    <n v="45"/>
    <n v="4560"/>
    <n v="2565"/>
    <n v="1995"/>
    <x v="3"/>
    <x v="2"/>
    <x v="2"/>
  </r>
  <r>
    <d v="2024-12-07T00:00:00"/>
    <x v="0"/>
    <x v="5"/>
    <x v="2"/>
    <n v="20"/>
    <n v="50"/>
    <n v="100"/>
    <n v="55"/>
    <n v="5000"/>
    <n v="2750"/>
    <n v="2250"/>
    <x v="3"/>
    <x v="2"/>
    <x v="3"/>
  </r>
  <r>
    <d v="2024-03-16T00:00:00"/>
    <x v="3"/>
    <x v="5"/>
    <x v="0"/>
    <n v="34"/>
    <n v="101"/>
    <n v="100"/>
    <n v="55"/>
    <n v="10100"/>
    <n v="5555"/>
    <n v="4545"/>
    <x v="8"/>
    <x v="3"/>
    <x v="1"/>
  </r>
  <r>
    <d v="2024-05-23T00:00:00"/>
    <x v="0"/>
    <x v="5"/>
    <x v="2"/>
    <n v="36"/>
    <n v="172"/>
    <n v="100"/>
    <n v="55"/>
    <n v="17200"/>
    <n v="9460"/>
    <n v="7740"/>
    <x v="1"/>
    <x v="0"/>
    <x v="0"/>
  </r>
  <r>
    <d v="2024-02-22T00:00:00"/>
    <x v="1"/>
    <x v="0"/>
    <x v="2"/>
    <n v="32"/>
    <n v="71"/>
    <n v="110"/>
    <n v="60"/>
    <n v="7810"/>
    <n v="4260"/>
    <n v="3550"/>
    <x v="6"/>
    <x v="3"/>
    <x v="1"/>
  </r>
  <r>
    <d v="2024-08-10T00:00:00"/>
    <x v="1"/>
    <x v="1"/>
    <x v="0"/>
    <n v="27"/>
    <n v="104"/>
    <n v="80"/>
    <n v="45"/>
    <n v="8320"/>
    <n v="4680"/>
    <n v="3640"/>
    <x v="7"/>
    <x v="1"/>
    <x v="2"/>
  </r>
  <r>
    <d v="2024-08-26T00:00:00"/>
    <x v="1"/>
    <x v="1"/>
    <x v="0"/>
    <n v="33"/>
    <n v="36"/>
    <n v="80"/>
    <n v="45"/>
    <n v="2880"/>
    <n v="1620"/>
    <n v="1260"/>
    <x v="7"/>
    <x v="1"/>
    <x v="1"/>
  </r>
  <r>
    <d v="2024-06-18T00:00:00"/>
    <x v="3"/>
    <x v="5"/>
    <x v="2"/>
    <n v="36"/>
    <n v="78"/>
    <n v="100"/>
    <n v="55"/>
    <n v="7800"/>
    <n v="4290"/>
    <n v="3510"/>
    <x v="11"/>
    <x v="0"/>
    <x v="0"/>
  </r>
  <r>
    <d v="2024-12-04T00:00:00"/>
    <x v="3"/>
    <x v="3"/>
    <x v="1"/>
    <n v="24"/>
    <n v="26"/>
    <n v="90"/>
    <n v="50"/>
    <n v="2340"/>
    <n v="1300"/>
    <n v="1040"/>
    <x v="3"/>
    <x v="2"/>
    <x v="3"/>
  </r>
  <r>
    <d v="2024-08-04T00:00:00"/>
    <x v="2"/>
    <x v="3"/>
    <x v="0"/>
    <n v="31"/>
    <n v="48"/>
    <n v="90"/>
    <n v="50"/>
    <n v="4320"/>
    <n v="2400"/>
    <n v="1920"/>
    <x v="7"/>
    <x v="1"/>
    <x v="1"/>
  </r>
  <r>
    <d v="2024-06-15T00:00:00"/>
    <x v="3"/>
    <x v="5"/>
    <x v="2"/>
    <n v="33"/>
    <n v="190"/>
    <n v="100"/>
    <n v="55"/>
    <n v="19000"/>
    <n v="10450"/>
    <n v="8550"/>
    <x v="11"/>
    <x v="0"/>
    <x v="1"/>
  </r>
  <r>
    <d v="2024-08-07T00:00:00"/>
    <x v="1"/>
    <x v="3"/>
    <x v="0"/>
    <n v="26"/>
    <n v="68"/>
    <n v="90"/>
    <n v="50"/>
    <n v="6120"/>
    <n v="3400"/>
    <n v="2720"/>
    <x v="7"/>
    <x v="1"/>
    <x v="2"/>
  </r>
  <r>
    <d v="2024-12-13T00:00:00"/>
    <x v="2"/>
    <x v="2"/>
    <x v="2"/>
    <n v="23"/>
    <n v="42"/>
    <n v="130"/>
    <n v="70"/>
    <n v="5460"/>
    <n v="2940"/>
    <n v="2520"/>
    <x v="3"/>
    <x v="2"/>
    <x v="3"/>
  </r>
  <r>
    <d v="2024-04-26T00:00:00"/>
    <x v="0"/>
    <x v="2"/>
    <x v="1"/>
    <n v="36"/>
    <n v="110"/>
    <n v="130"/>
    <n v="70"/>
    <n v="14300"/>
    <n v="7700"/>
    <n v="6600"/>
    <x v="0"/>
    <x v="0"/>
    <x v="0"/>
  </r>
  <r>
    <d v="2024-03-20T00:00:00"/>
    <x v="3"/>
    <x v="3"/>
    <x v="2"/>
    <n v="35"/>
    <n v="196"/>
    <n v="90"/>
    <n v="50"/>
    <n v="17640"/>
    <n v="9800"/>
    <n v="7840"/>
    <x v="8"/>
    <x v="3"/>
    <x v="1"/>
  </r>
  <r>
    <d v="2024-02-16T00:00:00"/>
    <x v="1"/>
    <x v="3"/>
    <x v="2"/>
    <n v="31"/>
    <n v="83"/>
    <n v="90"/>
    <n v="50"/>
    <n v="7470"/>
    <n v="4150"/>
    <n v="3320"/>
    <x v="6"/>
    <x v="3"/>
    <x v="1"/>
  </r>
  <r>
    <d v="2024-09-15T00:00:00"/>
    <x v="0"/>
    <x v="2"/>
    <x v="2"/>
    <n v="33"/>
    <n v="45"/>
    <n v="130"/>
    <n v="70"/>
    <n v="5850"/>
    <n v="3150"/>
    <n v="2700"/>
    <x v="5"/>
    <x v="1"/>
    <x v="1"/>
  </r>
  <r>
    <d v="2024-12-23T00:00:00"/>
    <x v="1"/>
    <x v="5"/>
    <x v="2"/>
    <n v="21"/>
    <n v="37"/>
    <n v="100"/>
    <n v="55"/>
    <n v="3700"/>
    <n v="2035"/>
    <n v="1665"/>
    <x v="3"/>
    <x v="2"/>
    <x v="3"/>
  </r>
  <r>
    <d v="2024-03-30T00:00:00"/>
    <x v="0"/>
    <x v="5"/>
    <x v="2"/>
    <n v="40"/>
    <n v="150"/>
    <n v="100"/>
    <n v="55"/>
    <n v="15000"/>
    <n v="8250"/>
    <n v="6750"/>
    <x v="8"/>
    <x v="3"/>
    <x v="0"/>
  </r>
  <r>
    <d v="2024-08-15T00:00:00"/>
    <x v="1"/>
    <x v="2"/>
    <x v="0"/>
    <n v="30"/>
    <n v="62"/>
    <n v="130"/>
    <n v="70"/>
    <n v="8060"/>
    <n v="4340"/>
    <n v="3720"/>
    <x v="7"/>
    <x v="1"/>
    <x v="2"/>
  </r>
  <r>
    <d v="2024-07-30T00:00:00"/>
    <x v="0"/>
    <x v="3"/>
    <x v="2"/>
    <n v="31"/>
    <n v="64"/>
    <n v="90"/>
    <n v="50"/>
    <n v="5760"/>
    <n v="3200"/>
    <n v="2560"/>
    <x v="2"/>
    <x v="1"/>
    <x v="1"/>
  </r>
  <r>
    <d v="2024-03-22T00:00:00"/>
    <x v="2"/>
    <x v="5"/>
    <x v="1"/>
    <n v="39"/>
    <n v="59"/>
    <n v="100"/>
    <n v="55"/>
    <n v="5900"/>
    <n v="3245"/>
    <n v="2655"/>
    <x v="8"/>
    <x v="3"/>
    <x v="0"/>
  </r>
  <r>
    <d v="2024-10-12T00:00:00"/>
    <x v="0"/>
    <x v="4"/>
    <x v="2"/>
    <n v="31"/>
    <n v="62"/>
    <n v="100"/>
    <n v="55"/>
    <n v="6200"/>
    <n v="3410"/>
    <n v="2790"/>
    <x v="9"/>
    <x v="2"/>
    <x v="1"/>
  </r>
  <r>
    <d v="2024-03-05T00:00:00"/>
    <x v="3"/>
    <x v="5"/>
    <x v="2"/>
    <n v="40"/>
    <n v="75"/>
    <n v="100"/>
    <n v="55"/>
    <n v="7500"/>
    <n v="4125"/>
    <n v="3375"/>
    <x v="8"/>
    <x v="3"/>
    <x v="0"/>
  </r>
  <r>
    <d v="2024-12-07T00:00:00"/>
    <x v="2"/>
    <x v="4"/>
    <x v="2"/>
    <n v="20"/>
    <n v="50"/>
    <n v="100"/>
    <n v="55"/>
    <n v="5000"/>
    <n v="2750"/>
    <n v="2250"/>
    <x v="3"/>
    <x v="2"/>
    <x v="3"/>
  </r>
  <r>
    <d v="2024-11-06T00:00:00"/>
    <x v="3"/>
    <x v="4"/>
    <x v="1"/>
    <n v="20"/>
    <n v="47"/>
    <n v="100"/>
    <n v="55"/>
    <n v="4700"/>
    <n v="2585"/>
    <n v="2115"/>
    <x v="4"/>
    <x v="2"/>
    <x v="3"/>
  </r>
  <r>
    <d v="2024-01-23T00:00:00"/>
    <x v="3"/>
    <x v="0"/>
    <x v="0"/>
    <n v="22"/>
    <n v="26"/>
    <n v="110"/>
    <n v="60"/>
    <n v="2860"/>
    <n v="1560"/>
    <n v="1300"/>
    <x v="10"/>
    <x v="3"/>
    <x v="3"/>
  </r>
  <r>
    <d v="2024-03-18T00:00:00"/>
    <x v="0"/>
    <x v="1"/>
    <x v="2"/>
    <n v="32"/>
    <n v="53"/>
    <n v="80"/>
    <n v="45"/>
    <n v="4240"/>
    <n v="2385"/>
    <n v="1855"/>
    <x v="8"/>
    <x v="3"/>
    <x v="1"/>
  </r>
  <r>
    <d v="2024-10-14T00:00:00"/>
    <x v="0"/>
    <x v="1"/>
    <x v="2"/>
    <n v="31"/>
    <n v="63"/>
    <n v="80"/>
    <n v="45"/>
    <n v="5040"/>
    <n v="2835"/>
    <n v="2205"/>
    <x v="9"/>
    <x v="2"/>
    <x v="1"/>
  </r>
  <r>
    <d v="2024-04-27T00:00:00"/>
    <x v="0"/>
    <x v="4"/>
    <x v="0"/>
    <n v="40"/>
    <n v="182"/>
    <n v="100"/>
    <n v="55"/>
    <n v="18200"/>
    <n v="10010"/>
    <n v="8190"/>
    <x v="0"/>
    <x v="0"/>
    <x v="0"/>
  </r>
  <r>
    <d v="2024-04-21T00:00:00"/>
    <x v="2"/>
    <x v="5"/>
    <x v="0"/>
    <n v="33"/>
    <n v="191"/>
    <n v="100"/>
    <n v="55"/>
    <n v="19100"/>
    <n v="10505"/>
    <n v="8595"/>
    <x v="0"/>
    <x v="0"/>
    <x v="1"/>
  </r>
  <r>
    <d v="2024-03-15T00:00:00"/>
    <x v="0"/>
    <x v="1"/>
    <x v="2"/>
    <n v="33"/>
    <n v="87"/>
    <n v="80"/>
    <n v="45"/>
    <n v="6960"/>
    <n v="3915"/>
    <n v="3045"/>
    <x v="8"/>
    <x v="3"/>
    <x v="1"/>
  </r>
  <r>
    <d v="2024-04-07T00:00:00"/>
    <x v="2"/>
    <x v="3"/>
    <x v="2"/>
    <n v="40"/>
    <n v="101"/>
    <n v="90"/>
    <n v="50"/>
    <n v="9090"/>
    <n v="5050"/>
    <n v="4040"/>
    <x v="0"/>
    <x v="0"/>
    <x v="0"/>
  </r>
  <r>
    <d v="2024-06-14T00:00:00"/>
    <x v="3"/>
    <x v="5"/>
    <x v="2"/>
    <n v="34"/>
    <n v="155"/>
    <n v="100"/>
    <n v="55"/>
    <n v="15500"/>
    <n v="8525"/>
    <n v="6975"/>
    <x v="11"/>
    <x v="0"/>
    <x v="1"/>
  </r>
  <r>
    <d v="2024-03-21T00:00:00"/>
    <x v="0"/>
    <x v="2"/>
    <x v="1"/>
    <n v="32"/>
    <n v="123"/>
    <n v="130"/>
    <n v="70"/>
    <n v="15990"/>
    <n v="8610"/>
    <n v="7380"/>
    <x v="8"/>
    <x v="3"/>
    <x v="1"/>
  </r>
  <r>
    <d v="2024-12-05T00:00:00"/>
    <x v="3"/>
    <x v="5"/>
    <x v="2"/>
    <n v="20"/>
    <n v="22"/>
    <n v="100"/>
    <n v="55"/>
    <n v="2200"/>
    <n v="1210"/>
    <n v="990"/>
    <x v="3"/>
    <x v="2"/>
    <x v="3"/>
  </r>
  <r>
    <d v="2024-04-20T00:00:00"/>
    <x v="0"/>
    <x v="1"/>
    <x v="2"/>
    <n v="39"/>
    <n v="167"/>
    <n v="80"/>
    <n v="45"/>
    <n v="13360"/>
    <n v="7515"/>
    <n v="5845"/>
    <x v="0"/>
    <x v="0"/>
    <x v="0"/>
  </r>
  <r>
    <d v="2024-12-25T00:00:00"/>
    <x v="2"/>
    <x v="0"/>
    <x v="1"/>
    <n v="19"/>
    <n v="36"/>
    <n v="110"/>
    <n v="60"/>
    <n v="3960"/>
    <n v="2160"/>
    <n v="1800"/>
    <x v="3"/>
    <x v="2"/>
    <x v="3"/>
  </r>
  <r>
    <d v="2024-03-01T00:00:00"/>
    <x v="0"/>
    <x v="1"/>
    <x v="2"/>
    <n v="41"/>
    <n v="141"/>
    <n v="80"/>
    <n v="45"/>
    <n v="11280"/>
    <n v="6345"/>
    <n v="4935"/>
    <x v="8"/>
    <x v="3"/>
    <x v="0"/>
  </r>
  <r>
    <d v="2024-11-12T00:00:00"/>
    <x v="2"/>
    <x v="1"/>
    <x v="0"/>
    <n v="27"/>
    <n v="21"/>
    <n v="80"/>
    <n v="45"/>
    <n v="1680"/>
    <n v="945"/>
    <n v="735"/>
    <x v="4"/>
    <x v="2"/>
    <x v="2"/>
  </r>
  <r>
    <d v="2024-02-15T00:00:00"/>
    <x v="2"/>
    <x v="5"/>
    <x v="0"/>
    <n v="34"/>
    <n v="102"/>
    <n v="100"/>
    <n v="55"/>
    <n v="10200"/>
    <n v="5610"/>
    <n v="4590"/>
    <x v="6"/>
    <x v="3"/>
    <x v="1"/>
  </r>
  <r>
    <d v="2024-02-16T00:00:00"/>
    <x v="0"/>
    <x v="3"/>
    <x v="1"/>
    <n v="26"/>
    <n v="92"/>
    <n v="90"/>
    <n v="50"/>
    <n v="8280"/>
    <n v="4600"/>
    <n v="3680"/>
    <x v="6"/>
    <x v="3"/>
    <x v="2"/>
  </r>
  <r>
    <d v="2024-01-26T00:00:00"/>
    <x v="0"/>
    <x v="4"/>
    <x v="0"/>
    <n v="25"/>
    <n v="24"/>
    <n v="100"/>
    <n v="55"/>
    <n v="2400"/>
    <n v="1320"/>
    <n v="1080"/>
    <x v="10"/>
    <x v="3"/>
    <x v="2"/>
  </r>
  <r>
    <d v="2024-08-01T00:00:00"/>
    <x v="1"/>
    <x v="1"/>
    <x v="0"/>
    <n v="33"/>
    <n v="31"/>
    <n v="80"/>
    <n v="45"/>
    <n v="2480"/>
    <n v="1395"/>
    <n v="1085"/>
    <x v="7"/>
    <x v="1"/>
    <x v="1"/>
  </r>
  <r>
    <d v="2024-01-07T00:00:00"/>
    <x v="3"/>
    <x v="0"/>
    <x v="0"/>
    <n v="19"/>
    <n v="54"/>
    <n v="110"/>
    <n v="60"/>
    <n v="5940"/>
    <n v="3240"/>
    <n v="2700"/>
    <x v="10"/>
    <x v="3"/>
    <x v="3"/>
  </r>
  <r>
    <d v="2024-10-20T00:00:00"/>
    <x v="0"/>
    <x v="3"/>
    <x v="2"/>
    <n v="32"/>
    <n v="57"/>
    <n v="90"/>
    <n v="50"/>
    <n v="5130"/>
    <n v="2850"/>
    <n v="2280"/>
    <x v="9"/>
    <x v="2"/>
    <x v="1"/>
  </r>
  <r>
    <d v="2024-09-29T00:00:00"/>
    <x v="0"/>
    <x v="1"/>
    <x v="2"/>
    <n v="29"/>
    <n v="46"/>
    <n v="80"/>
    <n v="45"/>
    <n v="3680"/>
    <n v="2070"/>
    <n v="1610"/>
    <x v="5"/>
    <x v="1"/>
    <x v="2"/>
  </r>
  <r>
    <d v="2024-01-25T00:00:00"/>
    <x v="1"/>
    <x v="0"/>
    <x v="2"/>
    <n v="21"/>
    <n v="56"/>
    <n v="110"/>
    <n v="60"/>
    <n v="6160"/>
    <n v="3360"/>
    <n v="2800"/>
    <x v="10"/>
    <x v="3"/>
    <x v="3"/>
  </r>
  <r>
    <d v="2024-04-20T00:00:00"/>
    <x v="2"/>
    <x v="0"/>
    <x v="0"/>
    <n v="41"/>
    <n v="132"/>
    <n v="110"/>
    <n v="60"/>
    <n v="14520"/>
    <n v="7920"/>
    <n v="6600"/>
    <x v="0"/>
    <x v="0"/>
    <x v="0"/>
  </r>
  <r>
    <d v="2024-04-10T00:00:00"/>
    <x v="1"/>
    <x v="5"/>
    <x v="0"/>
    <n v="37"/>
    <n v="108"/>
    <n v="100"/>
    <n v="55"/>
    <n v="10800"/>
    <n v="5940"/>
    <n v="4860"/>
    <x v="0"/>
    <x v="0"/>
    <x v="0"/>
  </r>
  <r>
    <d v="2024-08-16T00:00:00"/>
    <x v="0"/>
    <x v="2"/>
    <x v="2"/>
    <n v="32"/>
    <n v="99"/>
    <n v="130"/>
    <n v="70"/>
    <n v="12870"/>
    <n v="6930"/>
    <n v="5940"/>
    <x v="7"/>
    <x v="1"/>
    <x v="1"/>
  </r>
  <r>
    <d v="2024-04-21T00:00:00"/>
    <x v="0"/>
    <x v="1"/>
    <x v="2"/>
    <n v="39"/>
    <n v="144"/>
    <n v="80"/>
    <n v="45"/>
    <n v="11520"/>
    <n v="6480"/>
    <n v="5040"/>
    <x v="0"/>
    <x v="0"/>
    <x v="0"/>
  </r>
  <r>
    <d v="2024-11-06T00:00:00"/>
    <x v="0"/>
    <x v="4"/>
    <x v="2"/>
    <n v="21"/>
    <n v="46"/>
    <n v="100"/>
    <n v="55"/>
    <n v="4600"/>
    <n v="2530"/>
    <n v="2070"/>
    <x v="4"/>
    <x v="2"/>
    <x v="3"/>
  </r>
  <r>
    <d v="2024-08-10T00:00:00"/>
    <x v="2"/>
    <x v="4"/>
    <x v="1"/>
    <n v="31"/>
    <n v="108"/>
    <n v="100"/>
    <n v="55"/>
    <n v="10800"/>
    <n v="5940"/>
    <n v="4860"/>
    <x v="7"/>
    <x v="1"/>
    <x v="1"/>
  </r>
  <r>
    <d v="2024-04-27T00:00:00"/>
    <x v="0"/>
    <x v="5"/>
    <x v="0"/>
    <n v="39"/>
    <n v="128"/>
    <n v="100"/>
    <n v="55"/>
    <n v="12800"/>
    <n v="7040"/>
    <n v="5760"/>
    <x v="0"/>
    <x v="0"/>
    <x v="0"/>
  </r>
  <r>
    <d v="2024-01-26T00:00:00"/>
    <x v="1"/>
    <x v="5"/>
    <x v="2"/>
    <n v="20"/>
    <n v="13"/>
    <n v="100"/>
    <n v="55"/>
    <n v="1300"/>
    <n v="715"/>
    <n v="585"/>
    <x v="10"/>
    <x v="3"/>
    <x v="3"/>
  </r>
  <r>
    <d v="2024-07-30T00:00:00"/>
    <x v="0"/>
    <x v="3"/>
    <x v="2"/>
    <n v="31"/>
    <n v="43"/>
    <n v="90"/>
    <n v="50"/>
    <n v="3870"/>
    <n v="2150"/>
    <n v="1720"/>
    <x v="2"/>
    <x v="1"/>
    <x v="1"/>
  </r>
  <r>
    <d v="2024-10-19T00:00:00"/>
    <x v="3"/>
    <x v="3"/>
    <x v="2"/>
    <n v="26"/>
    <n v="32"/>
    <n v="90"/>
    <n v="50"/>
    <n v="2880"/>
    <n v="1600"/>
    <n v="1280"/>
    <x v="9"/>
    <x v="2"/>
    <x v="2"/>
  </r>
  <r>
    <d v="2024-06-26T00:00:00"/>
    <x v="2"/>
    <x v="5"/>
    <x v="0"/>
    <n v="39"/>
    <n v="179"/>
    <n v="100"/>
    <n v="55"/>
    <n v="17900"/>
    <n v="9845"/>
    <n v="8055"/>
    <x v="11"/>
    <x v="0"/>
    <x v="0"/>
  </r>
  <r>
    <d v="2024-05-09T00:00:00"/>
    <x v="0"/>
    <x v="1"/>
    <x v="2"/>
    <n v="39"/>
    <n v="58"/>
    <n v="80"/>
    <n v="45"/>
    <n v="4640"/>
    <n v="2610"/>
    <n v="2030"/>
    <x v="1"/>
    <x v="0"/>
    <x v="0"/>
  </r>
  <r>
    <d v="2024-02-07T00:00:00"/>
    <x v="0"/>
    <x v="5"/>
    <x v="1"/>
    <n v="27"/>
    <n v="91"/>
    <n v="100"/>
    <n v="55"/>
    <n v="9100"/>
    <n v="5005"/>
    <n v="4095"/>
    <x v="6"/>
    <x v="3"/>
    <x v="2"/>
  </r>
  <r>
    <d v="2024-11-29T00:00:00"/>
    <x v="3"/>
    <x v="2"/>
    <x v="2"/>
    <n v="20"/>
    <n v="44"/>
    <n v="130"/>
    <n v="70"/>
    <n v="5720"/>
    <n v="3080"/>
    <n v="2640"/>
    <x v="4"/>
    <x v="2"/>
    <x v="3"/>
  </r>
  <r>
    <d v="2024-01-01T00:00:00"/>
    <x v="2"/>
    <x v="0"/>
    <x v="0"/>
    <n v="26"/>
    <n v="17"/>
    <n v="110"/>
    <n v="60"/>
    <n v="1870"/>
    <n v="1020"/>
    <n v="850"/>
    <x v="10"/>
    <x v="3"/>
    <x v="2"/>
  </r>
  <r>
    <d v="2024-08-16T00:00:00"/>
    <x v="0"/>
    <x v="1"/>
    <x v="2"/>
    <n v="28"/>
    <n v="34"/>
    <n v="80"/>
    <n v="45"/>
    <n v="2720"/>
    <n v="1530"/>
    <n v="1190"/>
    <x v="7"/>
    <x v="1"/>
    <x v="2"/>
  </r>
  <r>
    <d v="2024-03-18T00:00:00"/>
    <x v="2"/>
    <x v="3"/>
    <x v="1"/>
    <n v="33"/>
    <n v="138"/>
    <n v="90"/>
    <n v="50"/>
    <n v="12420"/>
    <n v="6900"/>
    <n v="5520"/>
    <x v="8"/>
    <x v="3"/>
    <x v="1"/>
  </r>
  <r>
    <d v="2024-10-22T00:00:00"/>
    <x v="1"/>
    <x v="5"/>
    <x v="1"/>
    <n v="26"/>
    <n v="67"/>
    <n v="100"/>
    <n v="55"/>
    <n v="6700"/>
    <n v="3685"/>
    <n v="3015"/>
    <x v="9"/>
    <x v="2"/>
    <x v="2"/>
  </r>
  <r>
    <d v="2024-01-23T00:00:00"/>
    <x v="2"/>
    <x v="5"/>
    <x v="2"/>
    <n v="24"/>
    <n v="56"/>
    <n v="100"/>
    <n v="55"/>
    <n v="5600"/>
    <n v="3080"/>
    <n v="2520"/>
    <x v="10"/>
    <x v="3"/>
    <x v="3"/>
  </r>
  <r>
    <d v="2024-11-04T00:00:00"/>
    <x v="1"/>
    <x v="2"/>
    <x v="2"/>
    <n v="20"/>
    <n v="15"/>
    <n v="130"/>
    <n v="70"/>
    <n v="1950"/>
    <n v="1050"/>
    <n v="900"/>
    <x v="4"/>
    <x v="2"/>
    <x v="3"/>
  </r>
  <r>
    <d v="2024-06-27T00:00:00"/>
    <x v="0"/>
    <x v="5"/>
    <x v="0"/>
    <n v="35"/>
    <n v="82"/>
    <n v="100"/>
    <n v="55"/>
    <n v="8200"/>
    <n v="4510"/>
    <n v="3690"/>
    <x v="11"/>
    <x v="0"/>
    <x v="1"/>
  </r>
  <r>
    <d v="2024-08-18T00:00:00"/>
    <x v="3"/>
    <x v="3"/>
    <x v="0"/>
    <n v="32"/>
    <n v="56"/>
    <n v="90"/>
    <n v="50"/>
    <n v="5040"/>
    <n v="2800"/>
    <n v="2240"/>
    <x v="7"/>
    <x v="1"/>
    <x v="1"/>
  </r>
  <r>
    <d v="2024-10-15T00:00:00"/>
    <x v="2"/>
    <x v="1"/>
    <x v="0"/>
    <n v="26"/>
    <n v="103"/>
    <n v="80"/>
    <n v="45"/>
    <n v="8240"/>
    <n v="4635"/>
    <n v="3605"/>
    <x v="9"/>
    <x v="2"/>
    <x v="2"/>
  </r>
  <r>
    <d v="2024-04-27T00:00:00"/>
    <x v="0"/>
    <x v="4"/>
    <x v="0"/>
    <n v="39"/>
    <n v="64"/>
    <n v="100"/>
    <n v="55"/>
    <n v="6400"/>
    <n v="3520"/>
    <n v="2880"/>
    <x v="0"/>
    <x v="0"/>
    <x v="0"/>
  </r>
  <r>
    <d v="2024-09-17T00:00:00"/>
    <x v="2"/>
    <x v="5"/>
    <x v="0"/>
    <n v="28"/>
    <n v="56"/>
    <n v="100"/>
    <n v="55"/>
    <n v="5600"/>
    <n v="3080"/>
    <n v="2520"/>
    <x v="5"/>
    <x v="1"/>
    <x v="2"/>
  </r>
  <r>
    <d v="2024-08-30T00:00:00"/>
    <x v="1"/>
    <x v="3"/>
    <x v="0"/>
    <n v="33"/>
    <n v="49"/>
    <n v="90"/>
    <n v="50"/>
    <n v="4410"/>
    <n v="2450"/>
    <n v="1960"/>
    <x v="7"/>
    <x v="1"/>
    <x v="1"/>
  </r>
  <r>
    <d v="2024-02-07T00:00:00"/>
    <x v="2"/>
    <x v="1"/>
    <x v="2"/>
    <n v="33"/>
    <n v="41"/>
    <n v="80"/>
    <n v="45"/>
    <n v="3280"/>
    <n v="1845"/>
    <n v="1435"/>
    <x v="6"/>
    <x v="3"/>
    <x v="1"/>
  </r>
  <r>
    <d v="2024-07-28T00:00:00"/>
    <x v="0"/>
    <x v="3"/>
    <x v="1"/>
    <n v="29"/>
    <n v="105"/>
    <n v="90"/>
    <n v="50"/>
    <n v="9450"/>
    <n v="5250"/>
    <n v="4200"/>
    <x v="2"/>
    <x v="1"/>
    <x v="2"/>
  </r>
  <r>
    <d v="2024-11-19T00:00:00"/>
    <x v="0"/>
    <x v="0"/>
    <x v="0"/>
    <n v="27"/>
    <n v="58"/>
    <n v="110"/>
    <n v="60"/>
    <n v="6380"/>
    <n v="3480"/>
    <n v="2900"/>
    <x v="4"/>
    <x v="2"/>
    <x v="2"/>
  </r>
  <r>
    <d v="2024-02-20T00:00:00"/>
    <x v="3"/>
    <x v="0"/>
    <x v="1"/>
    <n v="26"/>
    <n v="52"/>
    <n v="110"/>
    <n v="60"/>
    <n v="5720"/>
    <n v="3120"/>
    <n v="2600"/>
    <x v="6"/>
    <x v="3"/>
    <x v="2"/>
  </r>
  <r>
    <d v="2024-10-28T00:00:00"/>
    <x v="0"/>
    <x v="1"/>
    <x v="2"/>
    <n v="26"/>
    <n v="86"/>
    <n v="80"/>
    <n v="45"/>
    <n v="6880"/>
    <n v="3870"/>
    <n v="3010"/>
    <x v="9"/>
    <x v="2"/>
    <x v="2"/>
  </r>
  <r>
    <d v="2024-11-14T00:00:00"/>
    <x v="0"/>
    <x v="5"/>
    <x v="0"/>
    <n v="26"/>
    <n v="56"/>
    <n v="100"/>
    <n v="55"/>
    <n v="5600"/>
    <n v="3080"/>
    <n v="2520"/>
    <x v="4"/>
    <x v="2"/>
    <x v="2"/>
  </r>
  <r>
    <d v="2024-11-04T00:00:00"/>
    <x v="3"/>
    <x v="5"/>
    <x v="2"/>
    <n v="20"/>
    <n v="50"/>
    <n v="100"/>
    <n v="55"/>
    <n v="5000"/>
    <n v="2750"/>
    <n v="2250"/>
    <x v="4"/>
    <x v="2"/>
    <x v="3"/>
  </r>
  <r>
    <d v="2024-03-03T00:00:00"/>
    <x v="3"/>
    <x v="5"/>
    <x v="1"/>
    <n v="33"/>
    <n v="184"/>
    <n v="100"/>
    <n v="55"/>
    <n v="18400"/>
    <n v="10120"/>
    <n v="8280"/>
    <x v="8"/>
    <x v="3"/>
    <x v="1"/>
  </r>
  <r>
    <d v="2024-12-12T00:00:00"/>
    <x v="0"/>
    <x v="5"/>
    <x v="2"/>
    <n v="26"/>
    <n v="33"/>
    <n v="100"/>
    <n v="55"/>
    <n v="3300"/>
    <n v="1815"/>
    <n v="1485"/>
    <x v="3"/>
    <x v="2"/>
    <x v="2"/>
  </r>
  <r>
    <d v="2024-06-28T00:00:00"/>
    <x v="3"/>
    <x v="5"/>
    <x v="2"/>
    <n v="37"/>
    <n v="112"/>
    <n v="100"/>
    <n v="55"/>
    <n v="11200"/>
    <n v="6160"/>
    <n v="5040"/>
    <x v="11"/>
    <x v="0"/>
    <x v="0"/>
  </r>
  <r>
    <d v="2024-06-02T00:00:00"/>
    <x v="1"/>
    <x v="1"/>
    <x v="2"/>
    <n v="40"/>
    <n v="133"/>
    <n v="80"/>
    <n v="45"/>
    <n v="10640"/>
    <n v="5985"/>
    <n v="4655"/>
    <x v="11"/>
    <x v="0"/>
    <x v="0"/>
  </r>
  <r>
    <d v="2024-06-25T00:00:00"/>
    <x v="3"/>
    <x v="3"/>
    <x v="0"/>
    <n v="32"/>
    <n v="153"/>
    <n v="90"/>
    <n v="50"/>
    <n v="13770"/>
    <n v="7650"/>
    <n v="6120"/>
    <x v="11"/>
    <x v="0"/>
    <x v="1"/>
  </r>
  <r>
    <d v="2024-11-22T00:00:00"/>
    <x v="0"/>
    <x v="3"/>
    <x v="0"/>
    <n v="18"/>
    <n v="28"/>
    <n v="90"/>
    <n v="50"/>
    <n v="2520"/>
    <n v="1400"/>
    <n v="1120"/>
    <x v="4"/>
    <x v="2"/>
    <x v="3"/>
  </r>
  <r>
    <d v="2024-10-12T00:00:00"/>
    <x v="2"/>
    <x v="4"/>
    <x v="2"/>
    <n v="27"/>
    <n v="76"/>
    <n v="100"/>
    <n v="55"/>
    <n v="7600"/>
    <n v="4180"/>
    <n v="3420"/>
    <x v="9"/>
    <x v="2"/>
    <x v="2"/>
  </r>
  <r>
    <d v="2024-07-12T00:00:00"/>
    <x v="2"/>
    <x v="3"/>
    <x v="2"/>
    <n v="29"/>
    <n v="80"/>
    <n v="90"/>
    <n v="50"/>
    <n v="7200"/>
    <n v="4000"/>
    <n v="3200"/>
    <x v="2"/>
    <x v="1"/>
    <x v="2"/>
  </r>
  <r>
    <d v="2024-09-20T00:00:00"/>
    <x v="3"/>
    <x v="4"/>
    <x v="2"/>
    <n v="28"/>
    <n v="103"/>
    <n v="100"/>
    <n v="55"/>
    <n v="10300"/>
    <n v="5665"/>
    <n v="4635"/>
    <x v="5"/>
    <x v="1"/>
    <x v="2"/>
  </r>
  <r>
    <d v="2024-12-31T00:00:00"/>
    <x v="3"/>
    <x v="3"/>
    <x v="1"/>
    <n v="19"/>
    <n v="41"/>
    <n v="90"/>
    <n v="50"/>
    <n v="3690"/>
    <n v="2050"/>
    <n v="1640"/>
    <x v="3"/>
    <x v="2"/>
    <x v="3"/>
  </r>
  <r>
    <d v="2024-12-14T00:00:00"/>
    <x v="2"/>
    <x v="5"/>
    <x v="2"/>
    <n v="25"/>
    <n v="32"/>
    <n v="100"/>
    <n v="55"/>
    <n v="3200"/>
    <n v="1760"/>
    <n v="1440"/>
    <x v="3"/>
    <x v="2"/>
    <x v="2"/>
  </r>
  <r>
    <d v="2024-02-23T00:00:00"/>
    <x v="2"/>
    <x v="5"/>
    <x v="1"/>
    <n v="27"/>
    <n v="37"/>
    <n v="100"/>
    <n v="55"/>
    <n v="3700"/>
    <n v="2035"/>
    <n v="1665"/>
    <x v="6"/>
    <x v="3"/>
    <x v="2"/>
  </r>
  <r>
    <d v="2024-10-17T00:00:00"/>
    <x v="1"/>
    <x v="1"/>
    <x v="1"/>
    <n v="29"/>
    <n v="45"/>
    <n v="80"/>
    <n v="45"/>
    <n v="3600"/>
    <n v="2025"/>
    <n v="1575"/>
    <x v="9"/>
    <x v="2"/>
    <x v="2"/>
  </r>
  <r>
    <d v="2024-06-13T00:00:00"/>
    <x v="2"/>
    <x v="1"/>
    <x v="2"/>
    <n v="41"/>
    <n v="56"/>
    <n v="80"/>
    <n v="45"/>
    <n v="4480"/>
    <n v="2520"/>
    <n v="1960"/>
    <x v="11"/>
    <x v="0"/>
    <x v="0"/>
  </r>
  <r>
    <d v="2024-09-19T00:00:00"/>
    <x v="3"/>
    <x v="0"/>
    <x v="2"/>
    <n v="29"/>
    <n v="48"/>
    <n v="110"/>
    <n v="60"/>
    <n v="5280"/>
    <n v="2880"/>
    <n v="2400"/>
    <x v="5"/>
    <x v="1"/>
    <x v="2"/>
  </r>
  <r>
    <d v="2024-10-11T00:00:00"/>
    <x v="3"/>
    <x v="5"/>
    <x v="0"/>
    <n v="27"/>
    <n v="49"/>
    <n v="100"/>
    <n v="55"/>
    <n v="4900"/>
    <n v="2695"/>
    <n v="2205"/>
    <x v="9"/>
    <x v="2"/>
    <x v="2"/>
  </r>
  <r>
    <d v="2024-07-13T00:00:00"/>
    <x v="0"/>
    <x v="3"/>
    <x v="0"/>
    <n v="34"/>
    <n v="67"/>
    <n v="90"/>
    <n v="50"/>
    <n v="6030"/>
    <n v="3350"/>
    <n v="2680"/>
    <x v="2"/>
    <x v="1"/>
    <x v="1"/>
  </r>
  <r>
    <d v="2024-08-13T00:00:00"/>
    <x v="0"/>
    <x v="4"/>
    <x v="1"/>
    <n v="26"/>
    <n v="53"/>
    <n v="100"/>
    <n v="55"/>
    <n v="5300"/>
    <n v="2915"/>
    <n v="2385"/>
    <x v="7"/>
    <x v="1"/>
    <x v="2"/>
  </r>
  <r>
    <d v="2024-07-20T00:00:00"/>
    <x v="3"/>
    <x v="3"/>
    <x v="2"/>
    <n v="34"/>
    <n v="43"/>
    <n v="90"/>
    <n v="50"/>
    <n v="3870"/>
    <n v="2150"/>
    <n v="1720"/>
    <x v="2"/>
    <x v="1"/>
    <x v="1"/>
  </r>
  <r>
    <d v="2024-02-09T00:00:00"/>
    <x v="2"/>
    <x v="0"/>
    <x v="2"/>
    <n v="29"/>
    <n v="51"/>
    <n v="110"/>
    <n v="60"/>
    <n v="5610"/>
    <n v="3060"/>
    <n v="2550"/>
    <x v="6"/>
    <x v="3"/>
    <x v="2"/>
  </r>
  <r>
    <d v="2024-06-02T00:00:00"/>
    <x v="0"/>
    <x v="3"/>
    <x v="2"/>
    <n v="37"/>
    <n v="124"/>
    <n v="90"/>
    <n v="50"/>
    <n v="11160"/>
    <n v="6200"/>
    <n v="4960"/>
    <x v="11"/>
    <x v="0"/>
    <x v="0"/>
  </r>
  <r>
    <d v="2024-05-25T00:00:00"/>
    <x v="3"/>
    <x v="3"/>
    <x v="2"/>
    <n v="32"/>
    <n v="83"/>
    <n v="90"/>
    <n v="50"/>
    <n v="7470"/>
    <n v="4150"/>
    <n v="3320"/>
    <x v="1"/>
    <x v="0"/>
    <x v="1"/>
  </r>
  <r>
    <d v="2024-06-13T00:00:00"/>
    <x v="3"/>
    <x v="0"/>
    <x v="2"/>
    <n v="37"/>
    <n v="155"/>
    <n v="110"/>
    <n v="60"/>
    <n v="17050"/>
    <n v="9300"/>
    <n v="7750"/>
    <x v="11"/>
    <x v="0"/>
    <x v="0"/>
  </r>
  <r>
    <d v="2024-01-27T00:00:00"/>
    <x v="3"/>
    <x v="2"/>
    <x v="0"/>
    <n v="26"/>
    <n v="21"/>
    <n v="130"/>
    <n v="70"/>
    <n v="2730"/>
    <n v="1470"/>
    <n v="1260"/>
    <x v="10"/>
    <x v="3"/>
    <x v="2"/>
  </r>
  <r>
    <d v="2024-11-04T00:00:00"/>
    <x v="3"/>
    <x v="1"/>
    <x v="2"/>
    <n v="27"/>
    <n v="37"/>
    <n v="80"/>
    <n v="45"/>
    <n v="2960"/>
    <n v="1665"/>
    <n v="1295"/>
    <x v="4"/>
    <x v="2"/>
    <x v="2"/>
  </r>
  <r>
    <d v="2024-02-15T00:00:00"/>
    <x v="0"/>
    <x v="1"/>
    <x v="0"/>
    <n v="30"/>
    <n v="80"/>
    <n v="80"/>
    <n v="45"/>
    <n v="6400"/>
    <n v="3600"/>
    <n v="2800"/>
    <x v="6"/>
    <x v="3"/>
    <x v="2"/>
  </r>
  <r>
    <d v="2024-10-18T00:00:00"/>
    <x v="0"/>
    <x v="0"/>
    <x v="0"/>
    <n v="29"/>
    <n v="40"/>
    <n v="110"/>
    <n v="60"/>
    <n v="4400"/>
    <n v="2400"/>
    <n v="2000"/>
    <x v="9"/>
    <x v="2"/>
    <x v="2"/>
  </r>
  <r>
    <d v="2024-04-22T00:00:00"/>
    <x v="1"/>
    <x v="0"/>
    <x v="1"/>
    <n v="39"/>
    <n v="104"/>
    <n v="110"/>
    <n v="60"/>
    <n v="11440"/>
    <n v="6240"/>
    <n v="5200"/>
    <x v="0"/>
    <x v="0"/>
    <x v="0"/>
  </r>
  <r>
    <d v="2024-09-02T00:00:00"/>
    <x v="2"/>
    <x v="1"/>
    <x v="2"/>
    <n v="28"/>
    <n v="49"/>
    <n v="80"/>
    <n v="45"/>
    <n v="3920"/>
    <n v="2205"/>
    <n v="1715"/>
    <x v="5"/>
    <x v="1"/>
    <x v="2"/>
  </r>
  <r>
    <d v="2024-08-14T00:00:00"/>
    <x v="3"/>
    <x v="4"/>
    <x v="1"/>
    <n v="27"/>
    <n v="102"/>
    <n v="100"/>
    <n v="55"/>
    <n v="10200"/>
    <n v="5610"/>
    <n v="4590"/>
    <x v="7"/>
    <x v="1"/>
    <x v="2"/>
  </r>
  <r>
    <d v="2024-03-13T00:00:00"/>
    <x v="1"/>
    <x v="1"/>
    <x v="2"/>
    <n v="41"/>
    <n v="153"/>
    <n v="80"/>
    <n v="45"/>
    <n v="12240"/>
    <n v="6885"/>
    <n v="5355"/>
    <x v="8"/>
    <x v="3"/>
    <x v="0"/>
  </r>
  <r>
    <d v="2024-01-25T00:00:00"/>
    <x v="3"/>
    <x v="1"/>
    <x v="0"/>
    <n v="20"/>
    <n v="53"/>
    <n v="80"/>
    <n v="45"/>
    <n v="4240"/>
    <n v="2385"/>
    <n v="1855"/>
    <x v="10"/>
    <x v="3"/>
    <x v="3"/>
  </r>
  <r>
    <d v="2024-04-11T00:00:00"/>
    <x v="2"/>
    <x v="3"/>
    <x v="2"/>
    <n v="32"/>
    <n v="98"/>
    <n v="90"/>
    <n v="50"/>
    <n v="8820"/>
    <n v="4900"/>
    <n v="3920"/>
    <x v="0"/>
    <x v="0"/>
    <x v="1"/>
  </r>
  <r>
    <d v="2024-11-25T00:00:00"/>
    <x v="2"/>
    <x v="0"/>
    <x v="2"/>
    <n v="25"/>
    <n v="25"/>
    <n v="110"/>
    <n v="60"/>
    <n v="2750"/>
    <n v="1500"/>
    <n v="1250"/>
    <x v="4"/>
    <x v="2"/>
    <x v="2"/>
  </r>
  <r>
    <d v="2024-12-04T00:00:00"/>
    <x v="3"/>
    <x v="0"/>
    <x v="0"/>
    <n v="23"/>
    <n v="25"/>
    <n v="110"/>
    <n v="60"/>
    <n v="2750"/>
    <n v="1500"/>
    <n v="1250"/>
    <x v="3"/>
    <x v="2"/>
    <x v="3"/>
  </r>
  <r>
    <d v="2024-07-18T00:00:00"/>
    <x v="2"/>
    <x v="1"/>
    <x v="2"/>
    <n v="34"/>
    <n v="55"/>
    <n v="80"/>
    <n v="45"/>
    <n v="4400"/>
    <n v="2475"/>
    <n v="1925"/>
    <x v="2"/>
    <x v="1"/>
    <x v="1"/>
  </r>
  <r>
    <d v="2024-12-30T00:00:00"/>
    <x v="0"/>
    <x v="0"/>
    <x v="0"/>
    <n v="24"/>
    <n v="26"/>
    <n v="110"/>
    <n v="60"/>
    <n v="2860"/>
    <n v="1560"/>
    <n v="1300"/>
    <x v="3"/>
    <x v="2"/>
    <x v="3"/>
  </r>
  <r>
    <d v="2024-10-08T00:00:00"/>
    <x v="3"/>
    <x v="3"/>
    <x v="2"/>
    <n v="34"/>
    <n v="36"/>
    <n v="90"/>
    <n v="50"/>
    <n v="3240"/>
    <n v="1800"/>
    <n v="1440"/>
    <x v="9"/>
    <x v="2"/>
    <x v="1"/>
  </r>
  <r>
    <d v="2024-06-24T00:00:00"/>
    <x v="2"/>
    <x v="1"/>
    <x v="0"/>
    <n v="38"/>
    <n v="165"/>
    <n v="80"/>
    <n v="45"/>
    <n v="13200"/>
    <n v="7425"/>
    <n v="5775"/>
    <x v="11"/>
    <x v="0"/>
    <x v="0"/>
  </r>
  <r>
    <d v="2024-04-12T00:00:00"/>
    <x v="2"/>
    <x v="1"/>
    <x v="2"/>
    <n v="33"/>
    <n v="94"/>
    <n v="80"/>
    <n v="45"/>
    <n v="7520"/>
    <n v="4230"/>
    <n v="3290"/>
    <x v="0"/>
    <x v="0"/>
    <x v="1"/>
  </r>
  <r>
    <d v="2024-05-10T00:00:00"/>
    <x v="0"/>
    <x v="0"/>
    <x v="0"/>
    <n v="38"/>
    <n v="157"/>
    <n v="110"/>
    <n v="60"/>
    <n v="17270"/>
    <n v="9420"/>
    <n v="7850"/>
    <x v="1"/>
    <x v="0"/>
    <x v="0"/>
  </r>
  <r>
    <d v="2024-01-15T00:00:00"/>
    <x v="2"/>
    <x v="4"/>
    <x v="0"/>
    <n v="19"/>
    <n v="22"/>
    <n v="100"/>
    <n v="55"/>
    <n v="2200"/>
    <n v="1210"/>
    <n v="990"/>
    <x v="10"/>
    <x v="3"/>
    <x v="3"/>
  </r>
  <r>
    <d v="2024-06-09T00:00:00"/>
    <x v="1"/>
    <x v="4"/>
    <x v="2"/>
    <n v="34"/>
    <n v="104"/>
    <n v="100"/>
    <n v="55"/>
    <n v="10400"/>
    <n v="5720"/>
    <n v="4680"/>
    <x v="11"/>
    <x v="0"/>
    <x v="1"/>
  </r>
  <r>
    <d v="2024-06-18T00:00:00"/>
    <x v="0"/>
    <x v="2"/>
    <x v="2"/>
    <n v="34"/>
    <n v="67"/>
    <n v="130"/>
    <n v="70"/>
    <n v="8710"/>
    <n v="4690"/>
    <n v="4020"/>
    <x v="11"/>
    <x v="0"/>
    <x v="1"/>
  </r>
  <r>
    <d v="2024-02-08T00:00:00"/>
    <x v="0"/>
    <x v="1"/>
    <x v="2"/>
    <n v="30"/>
    <n v="91"/>
    <n v="80"/>
    <n v="45"/>
    <n v="7280"/>
    <n v="4095"/>
    <n v="3185"/>
    <x v="6"/>
    <x v="3"/>
    <x v="2"/>
  </r>
  <r>
    <d v="2024-08-23T00:00:00"/>
    <x v="3"/>
    <x v="3"/>
    <x v="1"/>
    <n v="34"/>
    <n v="39"/>
    <n v="90"/>
    <n v="50"/>
    <n v="3510"/>
    <n v="1950"/>
    <n v="1560"/>
    <x v="7"/>
    <x v="1"/>
    <x v="1"/>
  </r>
  <r>
    <d v="2024-12-24T00:00:00"/>
    <x v="1"/>
    <x v="3"/>
    <x v="2"/>
    <n v="25"/>
    <n v="54"/>
    <n v="90"/>
    <n v="50"/>
    <n v="4860"/>
    <n v="2700"/>
    <n v="2160"/>
    <x v="3"/>
    <x v="2"/>
    <x v="2"/>
  </r>
  <r>
    <d v="2024-06-06T00:00:00"/>
    <x v="1"/>
    <x v="4"/>
    <x v="0"/>
    <n v="32"/>
    <n v="122"/>
    <n v="100"/>
    <n v="55"/>
    <n v="12200"/>
    <n v="6710"/>
    <n v="5490"/>
    <x v="11"/>
    <x v="0"/>
    <x v="1"/>
  </r>
  <r>
    <d v="2024-12-09T00:00:00"/>
    <x v="3"/>
    <x v="1"/>
    <x v="0"/>
    <n v="23"/>
    <n v="46"/>
    <n v="80"/>
    <n v="45"/>
    <n v="3680"/>
    <n v="2070"/>
    <n v="1610"/>
    <x v="3"/>
    <x v="2"/>
    <x v="3"/>
  </r>
  <r>
    <d v="2024-10-21T00:00:00"/>
    <x v="3"/>
    <x v="4"/>
    <x v="2"/>
    <n v="27"/>
    <n v="106"/>
    <n v="100"/>
    <n v="55"/>
    <n v="10600"/>
    <n v="5830"/>
    <n v="4770"/>
    <x v="9"/>
    <x v="2"/>
    <x v="2"/>
  </r>
  <r>
    <d v="2024-06-01T00:00:00"/>
    <x v="0"/>
    <x v="0"/>
    <x v="2"/>
    <n v="37"/>
    <n v="142"/>
    <n v="110"/>
    <n v="60"/>
    <n v="15620"/>
    <n v="8520"/>
    <n v="7100"/>
    <x v="11"/>
    <x v="0"/>
    <x v="0"/>
  </r>
  <r>
    <d v="2024-08-30T00:00:00"/>
    <x v="0"/>
    <x v="3"/>
    <x v="2"/>
    <n v="26"/>
    <n v="70"/>
    <n v="90"/>
    <n v="50"/>
    <n v="6300"/>
    <n v="3500"/>
    <n v="2800"/>
    <x v="7"/>
    <x v="1"/>
    <x v="2"/>
  </r>
  <r>
    <d v="2024-09-15T00:00:00"/>
    <x v="3"/>
    <x v="4"/>
    <x v="0"/>
    <n v="34"/>
    <n v="78"/>
    <n v="100"/>
    <n v="55"/>
    <n v="7800"/>
    <n v="4290"/>
    <n v="3510"/>
    <x v="5"/>
    <x v="1"/>
    <x v="1"/>
  </r>
  <r>
    <d v="2024-04-08T00:00:00"/>
    <x v="2"/>
    <x v="3"/>
    <x v="2"/>
    <n v="32"/>
    <n v="131"/>
    <n v="90"/>
    <n v="50"/>
    <n v="11790"/>
    <n v="6550"/>
    <n v="5240"/>
    <x v="0"/>
    <x v="0"/>
    <x v="1"/>
  </r>
  <r>
    <d v="2024-08-03T00:00:00"/>
    <x v="2"/>
    <x v="4"/>
    <x v="0"/>
    <n v="29"/>
    <n v="102"/>
    <n v="100"/>
    <n v="55"/>
    <n v="10200"/>
    <n v="5610"/>
    <n v="4590"/>
    <x v="7"/>
    <x v="1"/>
    <x v="2"/>
  </r>
  <r>
    <d v="2024-12-22T00:00:00"/>
    <x v="3"/>
    <x v="1"/>
    <x v="2"/>
    <n v="26"/>
    <n v="37"/>
    <n v="80"/>
    <n v="45"/>
    <n v="2960"/>
    <n v="1665"/>
    <n v="1295"/>
    <x v="3"/>
    <x v="2"/>
    <x v="2"/>
  </r>
  <r>
    <d v="2024-07-13T00:00:00"/>
    <x v="3"/>
    <x v="2"/>
    <x v="0"/>
    <n v="34"/>
    <n v="69"/>
    <n v="130"/>
    <n v="70"/>
    <n v="8970"/>
    <n v="4830"/>
    <n v="4140"/>
    <x v="2"/>
    <x v="1"/>
    <x v="1"/>
  </r>
  <r>
    <d v="2024-09-17T00:00:00"/>
    <x v="0"/>
    <x v="0"/>
    <x v="2"/>
    <n v="33"/>
    <n v="67"/>
    <n v="110"/>
    <n v="60"/>
    <n v="7370"/>
    <n v="4020"/>
    <n v="3350"/>
    <x v="5"/>
    <x v="1"/>
    <x v="1"/>
  </r>
  <r>
    <d v="2024-09-07T00:00:00"/>
    <x v="2"/>
    <x v="0"/>
    <x v="2"/>
    <n v="30"/>
    <n v="89"/>
    <n v="110"/>
    <n v="60"/>
    <n v="9790"/>
    <n v="5340"/>
    <n v="4450"/>
    <x v="5"/>
    <x v="1"/>
    <x v="2"/>
  </r>
  <r>
    <d v="2024-03-21T00:00:00"/>
    <x v="3"/>
    <x v="1"/>
    <x v="0"/>
    <n v="41"/>
    <n v="164"/>
    <n v="80"/>
    <n v="45"/>
    <n v="13120"/>
    <n v="7380"/>
    <n v="5740"/>
    <x v="8"/>
    <x v="3"/>
    <x v="0"/>
  </r>
  <r>
    <d v="2024-11-18T00:00:00"/>
    <x v="1"/>
    <x v="5"/>
    <x v="0"/>
    <n v="18"/>
    <n v="54"/>
    <n v="100"/>
    <n v="55"/>
    <n v="5400"/>
    <n v="2970"/>
    <n v="2430"/>
    <x v="4"/>
    <x v="2"/>
    <x v="3"/>
  </r>
  <r>
    <d v="2024-09-18T00:00:00"/>
    <x v="3"/>
    <x v="3"/>
    <x v="2"/>
    <n v="34"/>
    <n v="88"/>
    <n v="90"/>
    <n v="50"/>
    <n v="7920"/>
    <n v="4400"/>
    <n v="3520"/>
    <x v="5"/>
    <x v="1"/>
    <x v="1"/>
  </r>
  <r>
    <d v="2024-09-25T00:00:00"/>
    <x v="1"/>
    <x v="4"/>
    <x v="0"/>
    <n v="31"/>
    <n v="92"/>
    <n v="100"/>
    <n v="55"/>
    <n v="9200"/>
    <n v="5060"/>
    <n v="4140"/>
    <x v="5"/>
    <x v="1"/>
    <x v="1"/>
  </r>
  <r>
    <d v="2024-07-06T00:00:00"/>
    <x v="3"/>
    <x v="1"/>
    <x v="1"/>
    <n v="32"/>
    <n v="60"/>
    <n v="80"/>
    <n v="45"/>
    <n v="4800"/>
    <n v="2700"/>
    <n v="2100"/>
    <x v="2"/>
    <x v="1"/>
    <x v="1"/>
  </r>
  <r>
    <d v="2024-06-08T00:00:00"/>
    <x v="1"/>
    <x v="5"/>
    <x v="2"/>
    <n v="33"/>
    <n v="149"/>
    <n v="100"/>
    <n v="55"/>
    <n v="14900"/>
    <n v="8195"/>
    <n v="6705"/>
    <x v="11"/>
    <x v="0"/>
    <x v="1"/>
  </r>
  <r>
    <d v="2024-07-24T00:00:00"/>
    <x v="0"/>
    <x v="0"/>
    <x v="2"/>
    <n v="26"/>
    <n v="42"/>
    <n v="110"/>
    <n v="60"/>
    <n v="4620"/>
    <n v="2520"/>
    <n v="2100"/>
    <x v="2"/>
    <x v="1"/>
    <x v="2"/>
  </r>
  <r>
    <d v="2024-08-20T00:00:00"/>
    <x v="0"/>
    <x v="3"/>
    <x v="0"/>
    <n v="31"/>
    <n v="64"/>
    <n v="90"/>
    <n v="50"/>
    <n v="5760"/>
    <n v="3200"/>
    <n v="2560"/>
    <x v="7"/>
    <x v="1"/>
    <x v="1"/>
  </r>
  <r>
    <d v="2024-03-14T00:00:00"/>
    <x v="3"/>
    <x v="5"/>
    <x v="2"/>
    <n v="36"/>
    <n v="128"/>
    <n v="100"/>
    <n v="55"/>
    <n v="12800"/>
    <n v="7040"/>
    <n v="5760"/>
    <x v="8"/>
    <x v="3"/>
    <x v="0"/>
  </r>
  <r>
    <d v="2024-10-04T00:00:00"/>
    <x v="1"/>
    <x v="2"/>
    <x v="2"/>
    <n v="26"/>
    <n v="93"/>
    <n v="130"/>
    <n v="70"/>
    <n v="12090"/>
    <n v="6510"/>
    <n v="5580"/>
    <x v="9"/>
    <x v="2"/>
    <x v="2"/>
  </r>
  <r>
    <d v="2024-01-12T00:00:00"/>
    <x v="2"/>
    <x v="1"/>
    <x v="2"/>
    <n v="25"/>
    <n v="35"/>
    <n v="80"/>
    <n v="45"/>
    <n v="2800"/>
    <n v="1575"/>
    <n v="1225"/>
    <x v="10"/>
    <x v="3"/>
    <x v="2"/>
  </r>
  <r>
    <d v="2024-07-28T00:00:00"/>
    <x v="3"/>
    <x v="4"/>
    <x v="1"/>
    <n v="28"/>
    <n v="65"/>
    <n v="100"/>
    <n v="55"/>
    <n v="6500"/>
    <n v="3575"/>
    <n v="2925"/>
    <x v="2"/>
    <x v="1"/>
    <x v="2"/>
  </r>
  <r>
    <d v="2024-01-07T00:00:00"/>
    <x v="3"/>
    <x v="1"/>
    <x v="2"/>
    <n v="20"/>
    <n v="41"/>
    <n v="80"/>
    <n v="45"/>
    <n v="3280"/>
    <n v="1845"/>
    <n v="1435"/>
    <x v="10"/>
    <x v="3"/>
    <x v="3"/>
  </r>
  <r>
    <d v="2024-02-27T00:00:00"/>
    <x v="0"/>
    <x v="1"/>
    <x v="2"/>
    <n v="26"/>
    <n v="33"/>
    <n v="80"/>
    <n v="45"/>
    <n v="2640"/>
    <n v="1485"/>
    <n v="1155"/>
    <x v="6"/>
    <x v="3"/>
    <x v="2"/>
  </r>
  <r>
    <d v="2024-04-08T00:00:00"/>
    <x v="0"/>
    <x v="5"/>
    <x v="0"/>
    <n v="35"/>
    <n v="124"/>
    <n v="100"/>
    <n v="55"/>
    <n v="12400"/>
    <n v="6820"/>
    <n v="5580"/>
    <x v="0"/>
    <x v="0"/>
    <x v="1"/>
  </r>
  <r>
    <d v="2024-10-14T00:00:00"/>
    <x v="1"/>
    <x v="1"/>
    <x v="0"/>
    <n v="28"/>
    <n v="56"/>
    <n v="80"/>
    <n v="45"/>
    <n v="4480"/>
    <n v="2520"/>
    <n v="1960"/>
    <x v="9"/>
    <x v="2"/>
    <x v="2"/>
  </r>
  <r>
    <d v="2024-12-02T00:00:00"/>
    <x v="0"/>
    <x v="2"/>
    <x v="0"/>
    <n v="22"/>
    <n v="56"/>
    <n v="130"/>
    <n v="70"/>
    <n v="7280"/>
    <n v="3920"/>
    <n v="3360"/>
    <x v="3"/>
    <x v="2"/>
    <x v="3"/>
  </r>
  <r>
    <d v="2024-03-24T00:00:00"/>
    <x v="0"/>
    <x v="5"/>
    <x v="1"/>
    <n v="41"/>
    <n v="50"/>
    <n v="100"/>
    <n v="55"/>
    <n v="5000"/>
    <n v="2750"/>
    <n v="2250"/>
    <x v="8"/>
    <x v="3"/>
    <x v="0"/>
  </r>
  <r>
    <d v="2024-01-15T00:00:00"/>
    <x v="0"/>
    <x v="0"/>
    <x v="1"/>
    <n v="19"/>
    <n v="33"/>
    <n v="110"/>
    <n v="60"/>
    <n v="3630"/>
    <n v="1980"/>
    <n v="1650"/>
    <x v="10"/>
    <x v="3"/>
    <x v="3"/>
  </r>
  <r>
    <d v="2024-09-27T00:00:00"/>
    <x v="2"/>
    <x v="5"/>
    <x v="2"/>
    <n v="30"/>
    <n v="46"/>
    <n v="100"/>
    <n v="55"/>
    <n v="4600"/>
    <n v="2530"/>
    <n v="2070"/>
    <x v="5"/>
    <x v="1"/>
    <x v="2"/>
  </r>
  <r>
    <d v="2024-01-08T00:00:00"/>
    <x v="3"/>
    <x v="0"/>
    <x v="0"/>
    <n v="22"/>
    <n v="12"/>
    <n v="110"/>
    <n v="60"/>
    <n v="1320"/>
    <n v="720"/>
    <n v="600"/>
    <x v="10"/>
    <x v="3"/>
    <x v="3"/>
  </r>
  <r>
    <d v="2024-01-24T00:00:00"/>
    <x v="1"/>
    <x v="2"/>
    <x v="0"/>
    <n v="24"/>
    <n v="34"/>
    <n v="130"/>
    <n v="70"/>
    <n v="4420"/>
    <n v="2380"/>
    <n v="2040"/>
    <x v="10"/>
    <x v="3"/>
    <x v="3"/>
  </r>
  <r>
    <d v="2024-09-29T00:00:00"/>
    <x v="0"/>
    <x v="3"/>
    <x v="0"/>
    <n v="34"/>
    <n v="77"/>
    <n v="90"/>
    <n v="50"/>
    <n v="6930"/>
    <n v="3850"/>
    <n v="3080"/>
    <x v="5"/>
    <x v="1"/>
    <x v="1"/>
  </r>
  <r>
    <d v="2024-11-14T00:00:00"/>
    <x v="0"/>
    <x v="0"/>
    <x v="0"/>
    <n v="18"/>
    <n v="17"/>
    <n v="110"/>
    <n v="60"/>
    <n v="1870"/>
    <n v="1020"/>
    <n v="850"/>
    <x v="4"/>
    <x v="2"/>
    <x v="3"/>
  </r>
  <r>
    <d v="2024-03-12T00:00:00"/>
    <x v="1"/>
    <x v="5"/>
    <x v="2"/>
    <n v="37"/>
    <n v="144"/>
    <n v="100"/>
    <n v="55"/>
    <n v="14400"/>
    <n v="7920"/>
    <n v="6480"/>
    <x v="8"/>
    <x v="3"/>
    <x v="0"/>
  </r>
  <r>
    <d v="2024-02-01T00:00:00"/>
    <x v="1"/>
    <x v="0"/>
    <x v="1"/>
    <n v="33"/>
    <n v="70"/>
    <n v="110"/>
    <n v="60"/>
    <n v="7700"/>
    <n v="4200"/>
    <n v="3500"/>
    <x v="6"/>
    <x v="3"/>
    <x v="1"/>
  </r>
  <r>
    <d v="2024-09-23T00:00:00"/>
    <x v="0"/>
    <x v="5"/>
    <x v="2"/>
    <n v="31"/>
    <n v="75"/>
    <n v="100"/>
    <n v="55"/>
    <n v="7500"/>
    <n v="4125"/>
    <n v="3375"/>
    <x v="5"/>
    <x v="1"/>
    <x v="1"/>
  </r>
  <r>
    <d v="2024-03-26T00:00:00"/>
    <x v="0"/>
    <x v="1"/>
    <x v="0"/>
    <n v="33"/>
    <n v="146"/>
    <n v="80"/>
    <n v="45"/>
    <n v="11680"/>
    <n v="6570"/>
    <n v="5110"/>
    <x v="8"/>
    <x v="3"/>
    <x v="1"/>
  </r>
  <r>
    <d v="2024-08-12T00:00:00"/>
    <x v="2"/>
    <x v="1"/>
    <x v="2"/>
    <n v="31"/>
    <n v="55"/>
    <n v="80"/>
    <n v="45"/>
    <n v="4400"/>
    <n v="2475"/>
    <n v="1925"/>
    <x v="7"/>
    <x v="1"/>
    <x v="1"/>
  </r>
  <r>
    <d v="2024-04-12T00:00:00"/>
    <x v="2"/>
    <x v="1"/>
    <x v="0"/>
    <n v="33"/>
    <n v="192"/>
    <n v="80"/>
    <n v="45"/>
    <n v="15360"/>
    <n v="8640"/>
    <n v="6720"/>
    <x v="0"/>
    <x v="0"/>
    <x v="1"/>
  </r>
  <r>
    <d v="2024-04-15T00:00:00"/>
    <x v="0"/>
    <x v="1"/>
    <x v="0"/>
    <n v="37"/>
    <n v="172"/>
    <n v="80"/>
    <n v="45"/>
    <n v="13760"/>
    <n v="7740"/>
    <n v="6020"/>
    <x v="0"/>
    <x v="0"/>
    <x v="0"/>
  </r>
  <r>
    <d v="2024-01-09T00:00:00"/>
    <x v="0"/>
    <x v="2"/>
    <x v="0"/>
    <n v="25"/>
    <n v="59"/>
    <n v="130"/>
    <n v="70"/>
    <n v="7670"/>
    <n v="4130"/>
    <n v="3540"/>
    <x v="10"/>
    <x v="3"/>
    <x v="2"/>
  </r>
  <r>
    <d v="2024-11-23T00:00:00"/>
    <x v="3"/>
    <x v="0"/>
    <x v="2"/>
    <n v="21"/>
    <n v="16"/>
    <n v="110"/>
    <n v="60"/>
    <n v="1760"/>
    <n v="960"/>
    <n v="800"/>
    <x v="4"/>
    <x v="2"/>
    <x v="3"/>
  </r>
  <r>
    <d v="2024-07-26T00:00:00"/>
    <x v="3"/>
    <x v="3"/>
    <x v="2"/>
    <n v="34"/>
    <n v="32"/>
    <n v="90"/>
    <n v="50"/>
    <n v="2880"/>
    <n v="1600"/>
    <n v="1280"/>
    <x v="2"/>
    <x v="1"/>
    <x v="1"/>
  </r>
  <r>
    <d v="2024-07-06T00:00:00"/>
    <x v="0"/>
    <x v="0"/>
    <x v="2"/>
    <n v="34"/>
    <n v="41"/>
    <n v="110"/>
    <n v="60"/>
    <n v="4510"/>
    <n v="2460"/>
    <n v="2050"/>
    <x v="2"/>
    <x v="1"/>
    <x v="1"/>
  </r>
  <r>
    <d v="2024-10-27T00:00:00"/>
    <x v="0"/>
    <x v="3"/>
    <x v="2"/>
    <n v="33"/>
    <n v="74"/>
    <n v="90"/>
    <n v="50"/>
    <n v="6660"/>
    <n v="3700"/>
    <n v="2960"/>
    <x v="9"/>
    <x v="2"/>
    <x v="1"/>
  </r>
  <r>
    <d v="2024-08-08T00:00:00"/>
    <x v="1"/>
    <x v="0"/>
    <x v="2"/>
    <n v="27"/>
    <n v="99"/>
    <n v="110"/>
    <n v="60"/>
    <n v="10890"/>
    <n v="5940"/>
    <n v="4950"/>
    <x v="7"/>
    <x v="1"/>
    <x v="2"/>
  </r>
  <r>
    <d v="2024-07-29T00:00:00"/>
    <x v="3"/>
    <x v="1"/>
    <x v="1"/>
    <n v="28"/>
    <n v="32"/>
    <n v="80"/>
    <n v="45"/>
    <n v="2560"/>
    <n v="1440"/>
    <n v="1120"/>
    <x v="2"/>
    <x v="1"/>
    <x v="2"/>
  </r>
  <r>
    <d v="2024-02-04T00:00:00"/>
    <x v="2"/>
    <x v="1"/>
    <x v="2"/>
    <n v="26"/>
    <n v="36"/>
    <n v="80"/>
    <n v="45"/>
    <n v="2880"/>
    <n v="1620"/>
    <n v="1260"/>
    <x v="6"/>
    <x v="3"/>
    <x v="2"/>
  </r>
  <r>
    <d v="2024-12-15T00:00:00"/>
    <x v="2"/>
    <x v="2"/>
    <x v="0"/>
    <n v="21"/>
    <n v="46"/>
    <n v="130"/>
    <n v="70"/>
    <n v="5980"/>
    <n v="3220"/>
    <n v="2760"/>
    <x v="3"/>
    <x v="2"/>
    <x v="3"/>
  </r>
  <r>
    <d v="2024-08-07T00:00:00"/>
    <x v="3"/>
    <x v="5"/>
    <x v="2"/>
    <n v="28"/>
    <n v="78"/>
    <n v="100"/>
    <n v="55"/>
    <n v="7800"/>
    <n v="4290"/>
    <n v="3510"/>
    <x v="7"/>
    <x v="1"/>
    <x v="2"/>
  </r>
  <r>
    <d v="2024-04-05T00:00:00"/>
    <x v="0"/>
    <x v="3"/>
    <x v="2"/>
    <n v="33"/>
    <n v="115"/>
    <n v="90"/>
    <n v="50"/>
    <n v="10350"/>
    <n v="5750"/>
    <n v="4600"/>
    <x v="0"/>
    <x v="0"/>
    <x v="1"/>
  </r>
  <r>
    <d v="2024-09-18T00:00:00"/>
    <x v="3"/>
    <x v="0"/>
    <x v="2"/>
    <n v="28"/>
    <n v="41"/>
    <n v="110"/>
    <n v="60"/>
    <n v="4510"/>
    <n v="2460"/>
    <n v="2050"/>
    <x v="5"/>
    <x v="1"/>
    <x v="2"/>
  </r>
  <r>
    <d v="2024-08-24T00:00:00"/>
    <x v="3"/>
    <x v="5"/>
    <x v="2"/>
    <n v="33"/>
    <n v="55"/>
    <n v="100"/>
    <n v="55"/>
    <n v="5500"/>
    <n v="3025"/>
    <n v="2475"/>
    <x v="7"/>
    <x v="1"/>
    <x v="1"/>
  </r>
  <r>
    <d v="2024-04-09T00:00:00"/>
    <x v="0"/>
    <x v="2"/>
    <x v="2"/>
    <n v="33"/>
    <n v="127"/>
    <n v="130"/>
    <n v="70"/>
    <n v="16510"/>
    <n v="8890"/>
    <n v="7620"/>
    <x v="0"/>
    <x v="0"/>
    <x v="1"/>
  </r>
  <r>
    <d v="2024-10-19T00:00:00"/>
    <x v="2"/>
    <x v="4"/>
    <x v="2"/>
    <n v="33"/>
    <n v="89"/>
    <n v="100"/>
    <n v="55"/>
    <n v="8900"/>
    <n v="4895"/>
    <n v="4005"/>
    <x v="9"/>
    <x v="2"/>
    <x v="1"/>
  </r>
  <r>
    <d v="2024-08-18T00:00:00"/>
    <x v="2"/>
    <x v="5"/>
    <x v="2"/>
    <n v="27"/>
    <n v="57"/>
    <n v="100"/>
    <n v="55"/>
    <n v="5700"/>
    <n v="3135"/>
    <n v="2565"/>
    <x v="7"/>
    <x v="1"/>
    <x v="2"/>
  </r>
  <r>
    <d v="2024-06-11T00:00:00"/>
    <x v="0"/>
    <x v="0"/>
    <x v="0"/>
    <n v="38"/>
    <n v="94"/>
    <n v="110"/>
    <n v="60"/>
    <n v="10340"/>
    <n v="5640"/>
    <n v="4700"/>
    <x v="11"/>
    <x v="0"/>
    <x v="0"/>
  </r>
  <r>
    <d v="2024-10-29T00:00:00"/>
    <x v="3"/>
    <x v="1"/>
    <x v="2"/>
    <n v="34"/>
    <n v="109"/>
    <n v="80"/>
    <n v="45"/>
    <n v="8720"/>
    <n v="4905"/>
    <n v="3815"/>
    <x v="9"/>
    <x v="2"/>
    <x v="1"/>
  </r>
  <r>
    <d v="2024-09-13T00:00:00"/>
    <x v="2"/>
    <x v="5"/>
    <x v="1"/>
    <n v="31"/>
    <n v="86"/>
    <n v="100"/>
    <n v="55"/>
    <n v="8600"/>
    <n v="4730"/>
    <n v="3870"/>
    <x v="5"/>
    <x v="1"/>
    <x v="1"/>
  </r>
  <r>
    <d v="2024-10-10T00:00:00"/>
    <x v="1"/>
    <x v="1"/>
    <x v="0"/>
    <n v="26"/>
    <n v="66"/>
    <n v="80"/>
    <n v="45"/>
    <n v="5280"/>
    <n v="2970"/>
    <n v="2310"/>
    <x v="9"/>
    <x v="2"/>
    <x v="2"/>
  </r>
  <r>
    <d v="2024-04-29T00:00:00"/>
    <x v="2"/>
    <x v="4"/>
    <x v="1"/>
    <n v="35"/>
    <n v="157"/>
    <n v="100"/>
    <n v="55"/>
    <n v="15700"/>
    <n v="8635"/>
    <n v="7065"/>
    <x v="0"/>
    <x v="0"/>
    <x v="1"/>
  </r>
  <r>
    <d v="2024-11-29T00:00:00"/>
    <x v="2"/>
    <x v="1"/>
    <x v="1"/>
    <n v="18"/>
    <n v="38"/>
    <n v="80"/>
    <n v="45"/>
    <n v="3040"/>
    <n v="1710"/>
    <n v="1330"/>
    <x v="4"/>
    <x v="2"/>
    <x v="3"/>
  </r>
  <r>
    <d v="2024-04-28T00:00:00"/>
    <x v="0"/>
    <x v="1"/>
    <x v="2"/>
    <n v="41"/>
    <n v="61"/>
    <n v="80"/>
    <n v="45"/>
    <n v="4880"/>
    <n v="2745"/>
    <n v="2135"/>
    <x v="0"/>
    <x v="0"/>
    <x v="0"/>
  </r>
  <r>
    <d v="2024-10-02T00:00:00"/>
    <x v="3"/>
    <x v="2"/>
    <x v="2"/>
    <n v="34"/>
    <n v="79"/>
    <n v="130"/>
    <n v="70"/>
    <n v="10270"/>
    <n v="5530"/>
    <n v="4740"/>
    <x v="9"/>
    <x v="2"/>
    <x v="1"/>
  </r>
  <r>
    <d v="2024-02-08T00:00:00"/>
    <x v="2"/>
    <x v="5"/>
    <x v="2"/>
    <n v="31"/>
    <n v="73"/>
    <n v="100"/>
    <n v="55"/>
    <n v="7300"/>
    <n v="4015"/>
    <n v="3285"/>
    <x v="6"/>
    <x v="3"/>
    <x v="1"/>
  </r>
  <r>
    <d v="2024-12-05T00:00:00"/>
    <x v="0"/>
    <x v="1"/>
    <x v="2"/>
    <n v="27"/>
    <n v="59"/>
    <n v="80"/>
    <n v="45"/>
    <n v="4720"/>
    <n v="2655"/>
    <n v="2065"/>
    <x v="3"/>
    <x v="2"/>
    <x v="2"/>
  </r>
  <r>
    <d v="2024-01-08T00:00:00"/>
    <x v="0"/>
    <x v="2"/>
    <x v="0"/>
    <n v="23"/>
    <n v="41"/>
    <n v="130"/>
    <n v="70"/>
    <n v="5330"/>
    <n v="2870"/>
    <n v="2460"/>
    <x v="10"/>
    <x v="3"/>
    <x v="3"/>
  </r>
  <r>
    <d v="2024-01-05T00:00:00"/>
    <x v="0"/>
    <x v="2"/>
    <x v="0"/>
    <n v="27"/>
    <n v="35"/>
    <n v="130"/>
    <n v="70"/>
    <n v="4550"/>
    <n v="2450"/>
    <n v="2100"/>
    <x v="10"/>
    <x v="3"/>
    <x v="2"/>
  </r>
  <r>
    <d v="2024-04-23T00:00:00"/>
    <x v="3"/>
    <x v="1"/>
    <x v="1"/>
    <n v="39"/>
    <n v="162"/>
    <n v="80"/>
    <n v="45"/>
    <n v="12960"/>
    <n v="7290"/>
    <n v="5670"/>
    <x v="0"/>
    <x v="0"/>
    <x v="0"/>
  </r>
  <r>
    <d v="2024-12-10T00:00:00"/>
    <x v="1"/>
    <x v="0"/>
    <x v="2"/>
    <n v="22"/>
    <n v="25"/>
    <n v="110"/>
    <n v="60"/>
    <n v="2750"/>
    <n v="1500"/>
    <n v="1250"/>
    <x v="3"/>
    <x v="2"/>
    <x v="3"/>
  </r>
  <r>
    <d v="2024-10-30T00:00:00"/>
    <x v="0"/>
    <x v="0"/>
    <x v="0"/>
    <n v="31"/>
    <n v="93"/>
    <n v="110"/>
    <n v="60"/>
    <n v="10230"/>
    <n v="5580"/>
    <n v="4650"/>
    <x v="9"/>
    <x v="2"/>
    <x v="1"/>
  </r>
  <r>
    <d v="2024-03-03T00:00:00"/>
    <x v="2"/>
    <x v="2"/>
    <x v="1"/>
    <n v="36"/>
    <n v="122"/>
    <n v="130"/>
    <n v="70"/>
    <n v="15860"/>
    <n v="8540"/>
    <n v="7320"/>
    <x v="8"/>
    <x v="3"/>
    <x v="0"/>
  </r>
  <r>
    <d v="2024-03-17T00:00:00"/>
    <x v="0"/>
    <x v="5"/>
    <x v="0"/>
    <n v="35"/>
    <n v="151"/>
    <n v="100"/>
    <n v="55"/>
    <n v="15100"/>
    <n v="8305"/>
    <n v="6795"/>
    <x v="8"/>
    <x v="3"/>
    <x v="1"/>
  </r>
  <r>
    <d v="2024-04-11T00:00:00"/>
    <x v="3"/>
    <x v="5"/>
    <x v="1"/>
    <n v="34"/>
    <n v="72"/>
    <n v="100"/>
    <n v="55"/>
    <n v="7200"/>
    <n v="3960"/>
    <n v="3240"/>
    <x v="0"/>
    <x v="0"/>
    <x v="1"/>
  </r>
  <r>
    <d v="2024-12-30T00:00:00"/>
    <x v="0"/>
    <x v="4"/>
    <x v="0"/>
    <n v="22"/>
    <n v="34"/>
    <n v="100"/>
    <n v="55"/>
    <n v="3400"/>
    <n v="1870"/>
    <n v="1530"/>
    <x v="3"/>
    <x v="2"/>
    <x v="3"/>
  </r>
  <r>
    <d v="2024-05-22T00:00:00"/>
    <x v="1"/>
    <x v="3"/>
    <x v="0"/>
    <n v="40"/>
    <n v="196"/>
    <n v="90"/>
    <n v="50"/>
    <n v="17640"/>
    <n v="9800"/>
    <n v="7840"/>
    <x v="1"/>
    <x v="0"/>
    <x v="0"/>
  </r>
  <r>
    <d v="2024-10-31T00:00:00"/>
    <x v="2"/>
    <x v="3"/>
    <x v="2"/>
    <n v="28"/>
    <n v="40"/>
    <n v="90"/>
    <n v="50"/>
    <n v="3600"/>
    <n v="2000"/>
    <n v="1600"/>
    <x v="9"/>
    <x v="2"/>
    <x v="2"/>
  </r>
  <r>
    <d v="2024-04-19T00:00:00"/>
    <x v="1"/>
    <x v="3"/>
    <x v="0"/>
    <n v="41"/>
    <n v="134"/>
    <n v="90"/>
    <n v="50"/>
    <n v="12060"/>
    <n v="6700"/>
    <n v="5360"/>
    <x v="0"/>
    <x v="0"/>
    <x v="0"/>
  </r>
  <r>
    <d v="2024-11-23T00:00:00"/>
    <x v="2"/>
    <x v="3"/>
    <x v="2"/>
    <n v="26"/>
    <n v="35"/>
    <n v="90"/>
    <n v="50"/>
    <n v="3150"/>
    <n v="1750"/>
    <n v="1400"/>
    <x v="4"/>
    <x v="2"/>
    <x v="2"/>
  </r>
  <r>
    <d v="2024-01-12T00:00:00"/>
    <x v="2"/>
    <x v="1"/>
    <x v="2"/>
    <n v="24"/>
    <n v="45"/>
    <n v="80"/>
    <n v="45"/>
    <n v="3600"/>
    <n v="2025"/>
    <n v="1575"/>
    <x v="10"/>
    <x v="3"/>
    <x v="3"/>
  </r>
  <r>
    <d v="2024-11-21T00:00:00"/>
    <x v="1"/>
    <x v="0"/>
    <x v="0"/>
    <n v="24"/>
    <n v="30"/>
    <n v="110"/>
    <n v="60"/>
    <n v="3300"/>
    <n v="1800"/>
    <n v="1500"/>
    <x v="4"/>
    <x v="2"/>
    <x v="3"/>
  </r>
  <r>
    <d v="2024-04-16T00:00:00"/>
    <x v="1"/>
    <x v="1"/>
    <x v="1"/>
    <n v="35"/>
    <n v="74"/>
    <n v="80"/>
    <n v="45"/>
    <n v="5920"/>
    <n v="3330"/>
    <n v="2590"/>
    <x v="0"/>
    <x v="0"/>
    <x v="1"/>
  </r>
  <r>
    <d v="2024-07-21T00:00:00"/>
    <x v="0"/>
    <x v="5"/>
    <x v="2"/>
    <n v="27"/>
    <n v="48"/>
    <n v="100"/>
    <n v="55"/>
    <n v="4800"/>
    <n v="2640"/>
    <n v="2160"/>
    <x v="2"/>
    <x v="1"/>
    <x v="2"/>
  </r>
  <r>
    <d v="2024-11-29T00:00:00"/>
    <x v="0"/>
    <x v="5"/>
    <x v="2"/>
    <n v="20"/>
    <n v="36"/>
    <n v="100"/>
    <n v="55"/>
    <n v="3600"/>
    <n v="1980"/>
    <n v="1620"/>
    <x v="4"/>
    <x v="2"/>
    <x v="3"/>
  </r>
  <r>
    <d v="2024-05-15T00:00:00"/>
    <x v="1"/>
    <x v="5"/>
    <x v="0"/>
    <n v="35"/>
    <n v="126"/>
    <n v="100"/>
    <n v="55"/>
    <n v="12600"/>
    <n v="6930"/>
    <n v="5670"/>
    <x v="1"/>
    <x v="0"/>
    <x v="1"/>
  </r>
  <r>
    <d v="2024-03-30T00:00:00"/>
    <x v="0"/>
    <x v="1"/>
    <x v="0"/>
    <n v="38"/>
    <n v="123"/>
    <n v="80"/>
    <n v="45"/>
    <n v="9840"/>
    <n v="5535"/>
    <n v="4305"/>
    <x v="8"/>
    <x v="3"/>
    <x v="0"/>
  </r>
  <r>
    <d v="2024-06-07T00:00:00"/>
    <x v="0"/>
    <x v="0"/>
    <x v="0"/>
    <n v="39"/>
    <n v="91"/>
    <n v="110"/>
    <n v="60"/>
    <n v="10010"/>
    <n v="5460"/>
    <n v="4550"/>
    <x v="11"/>
    <x v="0"/>
    <x v="0"/>
  </r>
  <r>
    <d v="2024-02-05T00:00:00"/>
    <x v="0"/>
    <x v="5"/>
    <x v="0"/>
    <n v="33"/>
    <n v="73"/>
    <n v="100"/>
    <n v="55"/>
    <n v="7300"/>
    <n v="4015"/>
    <n v="3285"/>
    <x v="6"/>
    <x v="3"/>
    <x v="1"/>
  </r>
  <r>
    <d v="2024-06-21T00:00:00"/>
    <x v="3"/>
    <x v="3"/>
    <x v="0"/>
    <n v="36"/>
    <n v="167"/>
    <n v="90"/>
    <n v="50"/>
    <n v="15030"/>
    <n v="8350"/>
    <n v="6680"/>
    <x v="11"/>
    <x v="0"/>
    <x v="0"/>
  </r>
  <r>
    <d v="2024-08-01T00:00:00"/>
    <x v="1"/>
    <x v="3"/>
    <x v="0"/>
    <n v="33"/>
    <n v="71"/>
    <n v="90"/>
    <n v="50"/>
    <n v="6390"/>
    <n v="3550"/>
    <n v="2840"/>
    <x v="7"/>
    <x v="1"/>
    <x v="1"/>
  </r>
  <r>
    <d v="2024-05-31T00:00:00"/>
    <x v="0"/>
    <x v="5"/>
    <x v="0"/>
    <n v="39"/>
    <n v="99"/>
    <n v="100"/>
    <n v="55"/>
    <n v="9900"/>
    <n v="5445"/>
    <n v="4455"/>
    <x v="1"/>
    <x v="0"/>
    <x v="0"/>
  </r>
  <r>
    <d v="2024-01-19T00:00:00"/>
    <x v="1"/>
    <x v="4"/>
    <x v="0"/>
    <n v="21"/>
    <n v="28"/>
    <n v="100"/>
    <n v="55"/>
    <n v="2800"/>
    <n v="1540"/>
    <n v="1260"/>
    <x v="10"/>
    <x v="3"/>
    <x v="3"/>
  </r>
  <r>
    <d v="2024-08-29T00:00:00"/>
    <x v="0"/>
    <x v="1"/>
    <x v="1"/>
    <n v="32"/>
    <n v="62"/>
    <n v="80"/>
    <n v="45"/>
    <n v="4960"/>
    <n v="2790"/>
    <n v="2170"/>
    <x v="7"/>
    <x v="1"/>
    <x v="1"/>
  </r>
  <r>
    <d v="2024-05-28T00:00:00"/>
    <x v="0"/>
    <x v="1"/>
    <x v="0"/>
    <n v="41"/>
    <n v="60"/>
    <n v="80"/>
    <n v="45"/>
    <n v="4800"/>
    <n v="2700"/>
    <n v="2100"/>
    <x v="1"/>
    <x v="0"/>
    <x v="0"/>
  </r>
  <r>
    <d v="2024-03-18T00:00:00"/>
    <x v="0"/>
    <x v="3"/>
    <x v="2"/>
    <n v="34"/>
    <n v="113"/>
    <n v="90"/>
    <n v="50"/>
    <n v="10170"/>
    <n v="5650"/>
    <n v="4520"/>
    <x v="8"/>
    <x v="3"/>
    <x v="1"/>
  </r>
  <r>
    <d v="2024-09-19T00:00:00"/>
    <x v="2"/>
    <x v="0"/>
    <x v="2"/>
    <n v="34"/>
    <n v="68"/>
    <n v="110"/>
    <n v="60"/>
    <n v="7480"/>
    <n v="4080"/>
    <n v="3400"/>
    <x v="5"/>
    <x v="1"/>
    <x v="1"/>
  </r>
  <r>
    <d v="2024-08-28T00:00:00"/>
    <x v="0"/>
    <x v="1"/>
    <x v="0"/>
    <n v="31"/>
    <n v="97"/>
    <n v="80"/>
    <n v="45"/>
    <n v="7760"/>
    <n v="4365"/>
    <n v="3395"/>
    <x v="7"/>
    <x v="1"/>
    <x v="1"/>
  </r>
  <r>
    <d v="2024-02-11T00:00:00"/>
    <x v="1"/>
    <x v="2"/>
    <x v="2"/>
    <n v="28"/>
    <n v="65"/>
    <n v="130"/>
    <n v="70"/>
    <n v="8450"/>
    <n v="4550"/>
    <n v="3900"/>
    <x v="6"/>
    <x v="3"/>
    <x v="2"/>
  </r>
  <r>
    <d v="2024-03-13T00:00:00"/>
    <x v="0"/>
    <x v="5"/>
    <x v="2"/>
    <n v="32"/>
    <n v="62"/>
    <n v="100"/>
    <n v="55"/>
    <n v="6200"/>
    <n v="3410"/>
    <n v="2790"/>
    <x v="8"/>
    <x v="3"/>
    <x v="1"/>
  </r>
  <r>
    <d v="2024-11-11T00:00:00"/>
    <x v="3"/>
    <x v="1"/>
    <x v="2"/>
    <n v="25"/>
    <n v="30"/>
    <n v="80"/>
    <n v="45"/>
    <n v="2400"/>
    <n v="1350"/>
    <n v="1050"/>
    <x v="4"/>
    <x v="2"/>
    <x v="2"/>
  </r>
  <r>
    <d v="2024-08-17T00:00:00"/>
    <x v="1"/>
    <x v="3"/>
    <x v="2"/>
    <n v="28"/>
    <n v="87"/>
    <n v="90"/>
    <n v="50"/>
    <n v="7830"/>
    <n v="4350"/>
    <n v="3480"/>
    <x v="7"/>
    <x v="1"/>
    <x v="2"/>
  </r>
  <r>
    <d v="2024-12-07T00:00:00"/>
    <x v="3"/>
    <x v="0"/>
    <x v="0"/>
    <n v="20"/>
    <n v="26"/>
    <n v="110"/>
    <n v="60"/>
    <n v="2860"/>
    <n v="1560"/>
    <n v="1300"/>
    <x v="3"/>
    <x v="2"/>
    <x v="3"/>
  </r>
  <r>
    <d v="2024-12-19T00:00:00"/>
    <x v="0"/>
    <x v="5"/>
    <x v="0"/>
    <n v="22"/>
    <n v="45"/>
    <n v="100"/>
    <n v="55"/>
    <n v="4500"/>
    <n v="2475"/>
    <n v="2025"/>
    <x v="3"/>
    <x v="2"/>
    <x v="3"/>
  </r>
  <r>
    <d v="2024-11-28T00:00:00"/>
    <x v="1"/>
    <x v="3"/>
    <x v="2"/>
    <n v="26"/>
    <n v="51"/>
    <n v="90"/>
    <n v="50"/>
    <n v="4590"/>
    <n v="2550"/>
    <n v="2040"/>
    <x v="4"/>
    <x v="2"/>
    <x v="2"/>
  </r>
  <r>
    <d v="2024-02-24T00:00:00"/>
    <x v="0"/>
    <x v="0"/>
    <x v="0"/>
    <n v="32"/>
    <n v="32"/>
    <n v="110"/>
    <n v="60"/>
    <n v="3520"/>
    <n v="1920"/>
    <n v="1600"/>
    <x v="6"/>
    <x v="3"/>
    <x v="1"/>
  </r>
  <r>
    <d v="2024-12-13T00:00:00"/>
    <x v="0"/>
    <x v="2"/>
    <x v="0"/>
    <n v="18"/>
    <n v="53"/>
    <n v="130"/>
    <n v="70"/>
    <n v="6890"/>
    <n v="3710"/>
    <n v="3180"/>
    <x v="3"/>
    <x v="2"/>
    <x v="3"/>
  </r>
  <r>
    <d v="2024-04-30T00:00:00"/>
    <x v="0"/>
    <x v="0"/>
    <x v="2"/>
    <n v="32"/>
    <n v="81"/>
    <n v="110"/>
    <n v="60"/>
    <n v="8910"/>
    <n v="4860"/>
    <n v="4050"/>
    <x v="0"/>
    <x v="0"/>
    <x v="1"/>
  </r>
  <r>
    <d v="2024-09-28T00:00:00"/>
    <x v="0"/>
    <x v="3"/>
    <x v="2"/>
    <n v="26"/>
    <n v="65"/>
    <n v="90"/>
    <n v="50"/>
    <n v="5850"/>
    <n v="3250"/>
    <n v="2600"/>
    <x v="5"/>
    <x v="1"/>
    <x v="2"/>
  </r>
  <r>
    <d v="2024-05-30T00:00:00"/>
    <x v="2"/>
    <x v="5"/>
    <x v="2"/>
    <n v="34"/>
    <n v="124"/>
    <n v="100"/>
    <n v="55"/>
    <n v="12400"/>
    <n v="6820"/>
    <n v="5580"/>
    <x v="1"/>
    <x v="0"/>
    <x v="1"/>
  </r>
  <r>
    <d v="2024-06-28T00:00:00"/>
    <x v="3"/>
    <x v="5"/>
    <x v="1"/>
    <n v="34"/>
    <n v="55"/>
    <n v="100"/>
    <n v="55"/>
    <n v="5500"/>
    <n v="3025"/>
    <n v="2475"/>
    <x v="11"/>
    <x v="0"/>
    <x v="1"/>
  </r>
  <r>
    <d v="2024-05-22T00:00:00"/>
    <x v="3"/>
    <x v="2"/>
    <x v="2"/>
    <n v="41"/>
    <n v="98"/>
    <n v="130"/>
    <n v="70"/>
    <n v="12740"/>
    <n v="6860"/>
    <n v="5880"/>
    <x v="1"/>
    <x v="0"/>
    <x v="0"/>
  </r>
  <r>
    <d v="2024-06-14T00:00:00"/>
    <x v="2"/>
    <x v="4"/>
    <x v="1"/>
    <n v="34"/>
    <n v="183"/>
    <n v="100"/>
    <n v="55"/>
    <n v="18300"/>
    <n v="10065"/>
    <n v="8235"/>
    <x v="11"/>
    <x v="0"/>
    <x v="1"/>
  </r>
  <r>
    <d v="2024-12-01T00:00:00"/>
    <x v="3"/>
    <x v="1"/>
    <x v="2"/>
    <n v="19"/>
    <n v="44"/>
    <n v="80"/>
    <n v="45"/>
    <n v="3520"/>
    <n v="1980"/>
    <n v="1540"/>
    <x v="3"/>
    <x v="2"/>
    <x v="3"/>
  </r>
  <r>
    <d v="2024-12-12T00:00:00"/>
    <x v="0"/>
    <x v="0"/>
    <x v="1"/>
    <n v="26"/>
    <n v="19"/>
    <n v="110"/>
    <n v="60"/>
    <n v="2090"/>
    <n v="1140"/>
    <n v="950"/>
    <x v="3"/>
    <x v="2"/>
    <x v="2"/>
  </r>
  <r>
    <d v="2024-10-07T00:00:00"/>
    <x v="0"/>
    <x v="5"/>
    <x v="0"/>
    <n v="31"/>
    <n v="94"/>
    <n v="100"/>
    <n v="55"/>
    <n v="9400"/>
    <n v="5170"/>
    <n v="4230"/>
    <x v="9"/>
    <x v="2"/>
    <x v="1"/>
  </r>
  <r>
    <d v="2024-08-25T00:00:00"/>
    <x v="2"/>
    <x v="1"/>
    <x v="2"/>
    <n v="30"/>
    <n v="54"/>
    <n v="80"/>
    <n v="45"/>
    <n v="4320"/>
    <n v="2430"/>
    <n v="1890"/>
    <x v="7"/>
    <x v="1"/>
    <x v="2"/>
  </r>
  <r>
    <d v="2024-01-25T00:00:00"/>
    <x v="0"/>
    <x v="1"/>
    <x v="0"/>
    <n v="21"/>
    <n v="41"/>
    <n v="80"/>
    <n v="45"/>
    <n v="3280"/>
    <n v="1845"/>
    <n v="1435"/>
    <x v="10"/>
    <x v="3"/>
    <x v="3"/>
  </r>
  <r>
    <d v="2024-05-25T00:00:00"/>
    <x v="3"/>
    <x v="5"/>
    <x v="2"/>
    <n v="33"/>
    <n v="92"/>
    <n v="100"/>
    <n v="55"/>
    <n v="9200"/>
    <n v="5060"/>
    <n v="4140"/>
    <x v="1"/>
    <x v="0"/>
    <x v="1"/>
  </r>
  <r>
    <d v="2024-02-29T00:00:00"/>
    <x v="2"/>
    <x v="5"/>
    <x v="0"/>
    <n v="34"/>
    <n v="63"/>
    <n v="100"/>
    <n v="55"/>
    <n v="6300"/>
    <n v="3465"/>
    <n v="2835"/>
    <x v="6"/>
    <x v="3"/>
    <x v="1"/>
  </r>
  <r>
    <d v="2024-05-09T00:00:00"/>
    <x v="1"/>
    <x v="5"/>
    <x v="0"/>
    <n v="40"/>
    <n v="132"/>
    <n v="100"/>
    <n v="55"/>
    <n v="13200"/>
    <n v="7260"/>
    <n v="5940"/>
    <x v="1"/>
    <x v="0"/>
    <x v="0"/>
  </r>
  <r>
    <d v="2024-04-08T00:00:00"/>
    <x v="1"/>
    <x v="1"/>
    <x v="2"/>
    <n v="32"/>
    <n v="56"/>
    <n v="80"/>
    <n v="45"/>
    <n v="4480"/>
    <n v="2520"/>
    <n v="1960"/>
    <x v="0"/>
    <x v="0"/>
    <x v="1"/>
  </r>
  <r>
    <d v="2024-09-16T00:00:00"/>
    <x v="0"/>
    <x v="3"/>
    <x v="2"/>
    <n v="29"/>
    <n v="81"/>
    <n v="90"/>
    <n v="50"/>
    <n v="7290"/>
    <n v="4050"/>
    <n v="3240"/>
    <x v="5"/>
    <x v="1"/>
    <x v="2"/>
  </r>
  <r>
    <d v="2024-05-03T00:00:00"/>
    <x v="1"/>
    <x v="4"/>
    <x v="0"/>
    <n v="34"/>
    <n v="111"/>
    <n v="100"/>
    <n v="55"/>
    <n v="11100"/>
    <n v="6105"/>
    <n v="4995"/>
    <x v="1"/>
    <x v="0"/>
    <x v="1"/>
  </r>
  <r>
    <d v="2024-01-07T00:00:00"/>
    <x v="2"/>
    <x v="3"/>
    <x v="2"/>
    <n v="22"/>
    <n v="31"/>
    <n v="90"/>
    <n v="50"/>
    <n v="2790"/>
    <n v="1550"/>
    <n v="1240"/>
    <x v="10"/>
    <x v="3"/>
    <x v="3"/>
  </r>
  <r>
    <d v="2024-07-01T00:00:00"/>
    <x v="2"/>
    <x v="5"/>
    <x v="2"/>
    <n v="30"/>
    <n v="108"/>
    <n v="100"/>
    <n v="55"/>
    <n v="10800"/>
    <n v="5940"/>
    <n v="4860"/>
    <x v="2"/>
    <x v="1"/>
    <x v="2"/>
  </r>
  <r>
    <d v="2024-05-17T00:00:00"/>
    <x v="0"/>
    <x v="0"/>
    <x v="0"/>
    <n v="36"/>
    <n v="62"/>
    <n v="110"/>
    <n v="60"/>
    <n v="6820"/>
    <n v="3720"/>
    <n v="3100"/>
    <x v="1"/>
    <x v="0"/>
    <x v="0"/>
  </r>
  <r>
    <d v="2024-08-29T00:00:00"/>
    <x v="0"/>
    <x v="3"/>
    <x v="2"/>
    <n v="29"/>
    <n v="61"/>
    <n v="90"/>
    <n v="50"/>
    <n v="5490"/>
    <n v="3050"/>
    <n v="2440"/>
    <x v="7"/>
    <x v="1"/>
    <x v="2"/>
  </r>
  <r>
    <d v="2024-07-06T00:00:00"/>
    <x v="2"/>
    <x v="3"/>
    <x v="2"/>
    <n v="29"/>
    <n v="55"/>
    <n v="90"/>
    <n v="50"/>
    <n v="4950"/>
    <n v="2750"/>
    <n v="2200"/>
    <x v="2"/>
    <x v="1"/>
    <x v="2"/>
  </r>
  <r>
    <d v="2024-02-03T00:00:00"/>
    <x v="1"/>
    <x v="5"/>
    <x v="2"/>
    <n v="31"/>
    <n v="81"/>
    <n v="100"/>
    <n v="55"/>
    <n v="8100"/>
    <n v="4455"/>
    <n v="3645"/>
    <x v="6"/>
    <x v="3"/>
    <x v="1"/>
  </r>
  <r>
    <d v="2024-02-11T00:00:00"/>
    <x v="3"/>
    <x v="0"/>
    <x v="1"/>
    <n v="33"/>
    <n v="46"/>
    <n v="110"/>
    <n v="60"/>
    <n v="5060"/>
    <n v="2760"/>
    <n v="2300"/>
    <x v="6"/>
    <x v="3"/>
    <x v="1"/>
  </r>
  <r>
    <d v="2024-05-08T00:00:00"/>
    <x v="0"/>
    <x v="4"/>
    <x v="2"/>
    <n v="39"/>
    <n v="107"/>
    <n v="100"/>
    <n v="55"/>
    <n v="10700"/>
    <n v="5885"/>
    <n v="4815"/>
    <x v="1"/>
    <x v="0"/>
    <x v="0"/>
  </r>
  <r>
    <d v="2024-10-03T00:00:00"/>
    <x v="2"/>
    <x v="4"/>
    <x v="2"/>
    <n v="26"/>
    <n v="101"/>
    <n v="100"/>
    <n v="55"/>
    <n v="10100"/>
    <n v="5555"/>
    <n v="4545"/>
    <x v="9"/>
    <x v="2"/>
    <x v="2"/>
  </r>
  <r>
    <d v="2024-03-19T00:00:00"/>
    <x v="2"/>
    <x v="4"/>
    <x v="1"/>
    <n v="32"/>
    <n v="118"/>
    <n v="100"/>
    <n v="55"/>
    <n v="11800"/>
    <n v="6490"/>
    <n v="5310"/>
    <x v="8"/>
    <x v="3"/>
    <x v="1"/>
  </r>
  <r>
    <d v="2024-03-27T00:00:00"/>
    <x v="0"/>
    <x v="0"/>
    <x v="2"/>
    <n v="32"/>
    <n v="92"/>
    <n v="110"/>
    <n v="60"/>
    <n v="10120"/>
    <n v="5520"/>
    <n v="4600"/>
    <x v="8"/>
    <x v="3"/>
    <x v="1"/>
  </r>
  <r>
    <d v="2024-04-18T00:00:00"/>
    <x v="0"/>
    <x v="4"/>
    <x v="2"/>
    <n v="36"/>
    <n v="197"/>
    <n v="100"/>
    <n v="55"/>
    <n v="19700"/>
    <n v="10835"/>
    <n v="8865"/>
    <x v="0"/>
    <x v="0"/>
    <x v="0"/>
  </r>
  <r>
    <d v="2024-08-19T00:00:00"/>
    <x v="0"/>
    <x v="5"/>
    <x v="2"/>
    <n v="28"/>
    <n v="44"/>
    <n v="100"/>
    <n v="55"/>
    <n v="4400"/>
    <n v="2420"/>
    <n v="1980"/>
    <x v="7"/>
    <x v="1"/>
    <x v="2"/>
  </r>
  <r>
    <d v="2024-01-28T00:00:00"/>
    <x v="2"/>
    <x v="5"/>
    <x v="0"/>
    <n v="25"/>
    <n v="41"/>
    <n v="100"/>
    <n v="55"/>
    <n v="4100"/>
    <n v="2255"/>
    <n v="1845"/>
    <x v="10"/>
    <x v="3"/>
    <x v="2"/>
  </r>
  <r>
    <d v="2024-11-15T00:00:00"/>
    <x v="0"/>
    <x v="5"/>
    <x v="0"/>
    <n v="25"/>
    <n v="26"/>
    <n v="100"/>
    <n v="55"/>
    <n v="2600"/>
    <n v="1430"/>
    <n v="1170"/>
    <x v="4"/>
    <x v="2"/>
    <x v="2"/>
  </r>
  <r>
    <d v="2024-09-12T00:00:00"/>
    <x v="3"/>
    <x v="1"/>
    <x v="0"/>
    <n v="26"/>
    <n v="96"/>
    <n v="80"/>
    <n v="45"/>
    <n v="7680"/>
    <n v="4320"/>
    <n v="3360"/>
    <x v="5"/>
    <x v="1"/>
    <x v="2"/>
  </r>
  <r>
    <d v="2024-10-18T00:00:00"/>
    <x v="1"/>
    <x v="3"/>
    <x v="0"/>
    <n v="27"/>
    <n v="91"/>
    <n v="90"/>
    <n v="50"/>
    <n v="8190"/>
    <n v="4550"/>
    <n v="3640"/>
    <x v="9"/>
    <x v="2"/>
    <x v="2"/>
  </r>
  <r>
    <d v="2024-09-22T00:00:00"/>
    <x v="0"/>
    <x v="0"/>
    <x v="1"/>
    <n v="30"/>
    <n v="42"/>
    <n v="110"/>
    <n v="60"/>
    <n v="4620"/>
    <n v="2520"/>
    <n v="2100"/>
    <x v="5"/>
    <x v="1"/>
    <x v="2"/>
  </r>
  <r>
    <d v="2024-06-08T00:00:00"/>
    <x v="3"/>
    <x v="0"/>
    <x v="0"/>
    <n v="41"/>
    <n v="60"/>
    <n v="110"/>
    <n v="60"/>
    <n v="6600"/>
    <n v="3600"/>
    <n v="3000"/>
    <x v="11"/>
    <x v="0"/>
    <x v="0"/>
  </r>
  <r>
    <d v="2024-09-27T00:00:00"/>
    <x v="2"/>
    <x v="1"/>
    <x v="2"/>
    <n v="34"/>
    <n v="88"/>
    <n v="80"/>
    <n v="45"/>
    <n v="7040"/>
    <n v="3960"/>
    <n v="3080"/>
    <x v="5"/>
    <x v="1"/>
    <x v="1"/>
  </r>
  <r>
    <d v="2024-04-23T00:00:00"/>
    <x v="0"/>
    <x v="2"/>
    <x v="2"/>
    <n v="34"/>
    <n v="81"/>
    <n v="130"/>
    <n v="70"/>
    <n v="10530"/>
    <n v="5670"/>
    <n v="4860"/>
    <x v="0"/>
    <x v="0"/>
    <x v="1"/>
  </r>
  <r>
    <d v="2024-06-22T00:00:00"/>
    <x v="3"/>
    <x v="1"/>
    <x v="0"/>
    <n v="38"/>
    <n v="168"/>
    <n v="80"/>
    <n v="45"/>
    <n v="13440"/>
    <n v="7560"/>
    <n v="5880"/>
    <x v="11"/>
    <x v="0"/>
    <x v="0"/>
  </r>
  <r>
    <d v="2024-09-24T00:00:00"/>
    <x v="0"/>
    <x v="2"/>
    <x v="0"/>
    <n v="33"/>
    <n v="50"/>
    <n v="130"/>
    <n v="70"/>
    <n v="6500"/>
    <n v="3500"/>
    <n v="3000"/>
    <x v="5"/>
    <x v="1"/>
    <x v="1"/>
  </r>
  <r>
    <d v="2024-10-28T00:00:00"/>
    <x v="1"/>
    <x v="0"/>
    <x v="0"/>
    <n v="31"/>
    <n v="104"/>
    <n v="110"/>
    <n v="60"/>
    <n v="11440"/>
    <n v="6240"/>
    <n v="5200"/>
    <x v="9"/>
    <x v="2"/>
    <x v="1"/>
  </r>
  <r>
    <d v="2024-05-29T00:00:00"/>
    <x v="3"/>
    <x v="2"/>
    <x v="2"/>
    <n v="36"/>
    <n v="51"/>
    <n v="130"/>
    <n v="70"/>
    <n v="6630"/>
    <n v="3570"/>
    <n v="3060"/>
    <x v="1"/>
    <x v="0"/>
    <x v="0"/>
  </r>
  <r>
    <d v="2024-10-09T00:00:00"/>
    <x v="2"/>
    <x v="2"/>
    <x v="2"/>
    <n v="31"/>
    <n v="73"/>
    <n v="130"/>
    <n v="70"/>
    <n v="9490"/>
    <n v="5110"/>
    <n v="4380"/>
    <x v="9"/>
    <x v="2"/>
    <x v="1"/>
  </r>
  <r>
    <d v="2024-06-19T00:00:00"/>
    <x v="1"/>
    <x v="0"/>
    <x v="0"/>
    <n v="34"/>
    <n v="167"/>
    <n v="110"/>
    <n v="60"/>
    <n v="18370"/>
    <n v="10020"/>
    <n v="8350"/>
    <x v="11"/>
    <x v="0"/>
    <x v="1"/>
  </r>
  <r>
    <d v="2024-01-23T00:00:00"/>
    <x v="3"/>
    <x v="0"/>
    <x v="0"/>
    <n v="25"/>
    <n v="46"/>
    <n v="110"/>
    <n v="60"/>
    <n v="5060"/>
    <n v="2760"/>
    <n v="2300"/>
    <x v="10"/>
    <x v="3"/>
    <x v="2"/>
  </r>
  <r>
    <d v="2024-12-27T00:00:00"/>
    <x v="3"/>
    <x v="3"/>
    <x v="0"/>
    <n v="18"/>
    <n v="12"/>
    <n v="90"/>
    <n v="50"/>
    <n v="1080"/>
    <n v="600"/>
    <n v="480"/>
    <x v="3"/>
    <x v="2"/>
    <x v="3"/>
  </r>
  <r>
    <d v="2024-04-13T00:00:00"/>
    <x v="3"/>
    <x v="1"/>
    <x v="0"/>
    <n v="36"/>
    <n v="59"/>
    <n v="80"/>
    <n v="45"/>
    <n v="4720"/>
    <n v="2655"/>
    <n v="2065"/>
    <x v="0"/>
    <x v="0"/>
    <x v="0"/>
  </r>
  <r>
    <d v="2024-10-28T00:00:00"/>
    <x v="0"/>
    <x v="3"/>
    <x v="2"/>
    <n v="34"/>
    <n v="42"/>
    <n v="90"/>
    <n v="50"/>
    <n v="3780"/>
    <n v="2100"/>
    <n v="1680"/>
    <x v="9"/>
    <x v="2"/>
    <x v="1"/>
  </r>
  <r>
    <d v="2024-03-26T00:00:00"/>
    <x v="3"/>
    <x v="4"/>
    <x v="0"/>
    <n v="40"/>
    <n v="63"/>
    <n v="100"/>
    <n v="55"/>
    <n v="6300"/>
    <n v="3465"/>
    <n v="2835"/>
    <x v="8"/>
    <x v="3"/>
    <x v="0"/>
  </r>
  <r>
    <d v="2024-01-20T00:00:00"/>
    <x v="0"/>
    <x v="5"/>
    <x v="2"/>
    <n v="22"/>
    <n v="28"/>
    <n v="100"/>
    <n v="55"/>
    <n v="2800"/>
    <n v="1540"/>
    <n v="1260"/>
    <x v="10"/>
    <x v="3"/>
    <x v="3"/>
  </r>
  <r>
    <d v="2024-07-04T00:00:00"/>
    <x v="2"/>
    <x v="5"/>
    <x v="0"/>
    <n v="31"/>
    <n v="53"/>
    <n v="100"/>
    <n v="55"/>
    <n v="5300"/>
    <n v="2915"/>
    <n v="2385"/>
    <x v="2"/>
    <x v="1"/>
    <x v="1"/>
  </r>
  <r>
    <d v="2024-08-14T00:00:00"/>
    <x v="1"/>
    <x v="1"/>
    <x v="2"/>
    <n v="31"/>
    <n v="50"/>
    <n v="80"/>
    <n v="45"/>
    <n v="4000"/>
    <n v="2250"/>
    <n v="1750"/>
    <x v="7"/>
    <x v="1"/>
    <x v="1"/>
  </r>
  <r>
    <d v="2024-09-16T00:00:00"/>
    <x v="2"/>
    <x v="1"/>
    <x v="2"/>
    <n v="29"/>
    <n v="100"/>
    <n v="80"/>
    <n v="45"/>
    <n v="8000"/>
    <n v="4500"/>
    <n v="3500"/>
    <x v="5"/>
    <x v="1"/>
    <x v="2"/>
  </r>
  <r>
    <d v="2024-08-08T00:00:00"/>
    <x v="0"/>
    <x v="3"/>
    <x v="0"/>
    <n v="29"/>
    <n v="84"/>
    <n v="90"/>
    <n v="50"/>
    <n v="7560"/>
    <n v="4200"/>
    <n v="3360"/>
    <x v="7"/>
    <x v="1"/>
    <x v="2"/>
  </r>
  <r>
    <d v="2024-09-10T00:00:00"/>
    <x v="2"/>
    <x v="5"/>
    <x v="0"/>
    <n v="28"/>
    <n v="89"/>
    <n v="100"/>
    <n v="55"/>
    <n v="8900"/>
    <n v="4895"/>
    <n v="4005"/>
    <x v="5"/>
    <x v="1"/>
    <x v="2"/>
  </r>
  <r>
    <d v="2024-10-31T00:00:00"/>
    <x v="0"/>
    <x v="3"/>
    <x v="0"/>
    <n v="31"/>
    <n v="105"/>
    <n v="90"/>
    <n v="50"/>
    <n v="9450"/>
    <n v="5250"/>
    <n v="4200"/>
    <x v="9"/>
    <x v="2"/>
    <x v="1"/>
  </r>
  <r>
    <d v="2024-04-26T00:00:00"/>
    <x v="2"/>
    <x v="0"/>
    <x v="2"/>
    <n v="38"/>
    <n v="143"/>
    <n v="110"/>
    <n v="60"/>
    <n v="15730"/>
    <n v="8580"/>
    <n v="7150"/>
    <x v="0"/>
    <x v="0"/>
    <x v="0"/>
  </r>
  <r>
    <d v="2024-04-22T00:00:00"/>
    <x v="0"/>
    <x v="5"/>
    <x v="2"/>
    <n v="40"/>
    <n v="96"/>
    <n v="100"/>
    <n v="55"/>
    <n v="9600"/>
    <n v="5280"/>
    <n v="4320"/>
    <x v="0"/>
    <x v="0"/>
    <x v="0"/>
  </r>
  <r>
    <d v="2024-04-27T00:00:00"/>
    <x v="2"/>
    <x v="3"/>
    <x v="0"/>
    <n v="37"/>
    <n v="96"/>
    <n v="90"/>
    <n v="50"/>
    <n v="8640"/>
    <n v="4800"/>
    <n v="3840"/>
    <x v="0"/>
    <x v="0"/>
    <x v="0"/>
  </r>
  <r>
    <d v="2024-02-16T00:00:00"/>
    <x v="2"/>
    <x v="4"/>
    <x v="0"/>
    <n v="30"/>
    <n v="45"/>
    <n v="100"/>
    <n v="55"/>
    <n v="4500"/>
    <n v="2475"/>
    <n v="2025"/>
    <x v="6"/>
    <x v="3"/>
    <x v="2"/>
  </r>
  <r>
    <d v="2024-03-01T00:00:00"/>
    <x v="0"/>
    <x v="2"/>
    <x v="0"/>
    <n v="37"/>
    <n v="143"/>
    <n v="130"/>
    <n v="70"/>
    <n v="18590"/>
    <n v="10010"/>
    <n v="8580"/>
    <x v="8"/>
    <x v="3"/>
    <x v="0"/>
  </r>
  <r>
    <d v="2024-07-16T00:00:00"/>
    <x v="0"/>
    <x v="3"/>
    <x v="1"/>
    <n v="28"/>
    <n v="71"/>
    <n v="90"/>
    <n v="50"/>
    <n v="6390"/>
    <n v="3550"/>
    <n v="2840"/>
    <x v="2"/>
    <x v="1"/>
    <x v="2"/>
  </r>
  <r>
    <d v="2024-10-28T00:00:00"/>
    <x v="2"/>
    <x v="1"/>
    <x v="2"/>
    <n v="30"/>
    <n v="78"/>
    <n v="80"/>
    <n v="45"/>
    <n v="6240"/>
    <n v="3510"/>
    <n v="2730"/>
    <x v="9"/>
    <x v="2"/>
    <x v="2"/>
  </r>
  <r>
    <d v="2024-03-14T00:00:00"/>
    <x v="1"/>
    <x v="2"/>
    <x v="0"/>
    <n v="38"/>
    <n v="175"/>
    <n v="130"/>
    <n v="70"/>
    <n v="22750"/>
    <n v="12250"/>
    <n v="10500"/>
    <x v="8"/>
    <x v="3"/>
    <x v="0"/>
  </r>
  <r>
    <d v="2024-10-21T00:00:00"/>
    <x v="2"/>
    <x v="5"/>
    <x v="0"/>
    <n v="34"/>
    <n v="99"/>
    <n v="100"/>
    <n v="55"/>
    <n v="9900"/>
    <n v="5445"/>
    <n v="4455"/>
    <x v="9"/>
    <x v="2"/>
    <x v="1"/>
  </r>
  <r>
    <d v="2024-06-30T00:00:00"/>
    <x v="0"/>
    <x v="1"/>
    <x v="2"/>
    <n v="39"/>
    <n v="133"/>
    <n v="80"/>
    <n v="45"/>
    <n v="10640"/>
    <n v="5985"/>
    <n v="4655"/>
    <x v="11"/>
    <x v="0"/>
    <x v="0"/>
  </r>
  <r>
    <d v="2024-02-05T00:00:00"/>
    <x v="0"/>
    <x v="1"/>
    <x v="2"/>
    <n v="28"/>
    <n v="36"/>
    <n v="80"/>
    <n v="45"/>
    <n v="2880"/>
    <n v="1620"/>
    <n v="1260"/>
    <x v="6"/>
    <x v="3"/>
    <x v="2"/>
  </r>
  <r>
    <d v="2024-08-07T00:00:00"/>
    <x v="3"/>
    <x v="0"/>
    <x v="2"/>
    <n v="31"/>
    <n v="106"/>
    <n v="110"/>
    <n v="60"/>
    <n v="11660"/>
    <n v="6360"/>
    <n v="5300"/>
    <x v="7"/>
    <x v="1"/>
    <x v="1"/>
  </r>
  <r>
    <d v="2024-02-13T00:00:00"/>
    <x v="3"/>
    <x v="1"/>
    <x v="2"/>
    <n v="30"/>
    <n v="86"/>
    <n v="80"/>
    <n v="45"/>
    <n v="6880"/>
    <n v="3870"/>
    <n v="3010"/>
    <x v="6"/>
    <x v="3"/>
    <x v="2"/>
  </r>
  <r>
    <d v="2024-07-14T00:00:00"/>
    <x v="1"/>
    <x v="5"/>
    <x v="2"/>
    <n v="27"/>
    <n v="44"/>
    <n v="100"/>
    <n v="55"/>
    <n v="4400"/>
    <n v="2420"/>
    <n v="1980"/>
    <x v="2"/>
    <x v="1"/>
    <x v="2"/>
  </r>
  <r>
    <d v="2024-06-08T00:00:00"/>
    <x v="3"/>
    <x v="0"/>
    <x v="0"/>
    <n v="41"/>
    <n v="198"/>
    <n v="110"/>
    <n v="60"/>
    <n v="21780"/>
    <n v="11880"/>
    <n v="9900"/>
    <x v="11"/>
    <x v="0"/>
    <x v="0"/>
  </r>
  <r>
    <d v="2024-06-02T00:00:00"/>
    <x v="0"/>
    <x v="5"/>
    <x v="0"/>
    <n v="36"/>
    <n v="107"/>
    <n v="100"/>
    <n v="55"/>
    <n v="10700"/>
    <n v="5885"/>
    <n v="4815"/>
    <x v="11"/>
    <x v="0"/>
    <x v="0"/>
  </r>
  <r>
    <d v="2024-03-22T00:00:00"/>
    <x v="1"/>
    <x v="1"/>
    <x v="2"/>
    <n v="34"/>
    <n v="98"/>
    <n v="80"/>
    <n v="45"/>
    <n v="7840"/>
    <n v="4410"/>
    <n v="3430"/>
    <x v="8"/>
    <x v="3"/>
    <x v="1"/>
  </r>
  <r>
    <d v="2024-12-10T00:00:00"/>
    <x v="3"/>
    <x v="2"/>
    <x v="2"/>
    <n v="19"/>
    <n v="42"/>
    <n v="130"/>
    <n v="70"/>
    <n v="5460"/>
    <n v="2940"/>
    <n v="2520"/>
    <x v="3"/>
    <x v="2"/>
    <x v="3"/>
  </r>
  <r>
    <d v="2024-04-26T00:00:00"/>
    <x v="0"/>
    <x v="1"/>
    <x v="1"/>
    <n v="32"/>
    <n v="82"/>
    <n v="80"/>
    <n v="45"/>
    <n v="6560"/>
    <n v="3690"/>
    <n v="2870"/>
    <x v="0"/>
    <x v="0"/>
    <x v="1"/>
  </r>
  <r>
    <d v="2024-05-31T00:00:00"/>
    <x v="3"/>
    <x v="1"/>
    <x v="0"/>
    <n v="32"/>
    <n v="135"/>
    <n v="80"/>
    <n v="45"/>
    <n v="10800"/>
    <n v="6075"/>
    <n v="4725"/>
    <x v="1"/>
    <x v="0"/>
    <x v="1"/>
  </r>
  <r>
    <d v="2024-01-17T00:00:00"/>
    <x v="0"/>
    <x v="3"/>
    <x v="0"/>
    <n v="22"/>
    <n v="19"/>
    <n v="90"/>
    <n v="50"/>
    <n v="1710"/>
    <n v="950"/>
    <n v="760"/>
    <x v="10"/>
    <x v="3"/>
    <x v="3"/>
  </r>
  <r>
    <d v="2024-01-05T00:00:00"/>
    <x v="3"/>
    <x v="2"/>
    <x v="0"/>
    <n v="20"/>
    <n v="43"/>
    <n v="130"/>
    <n v="70"/>
    <n v="5590"/>
    <n v="3010"/>
    <n v="2580"/>
    <x v="10"/>
    <x v="3"/>
    <x v="3"/>
  </r>
  <r>
    <d v="2024-05-04T00:00:00"/>
    <x v="0"/>
    <x v="0"/>
    <x v="0"/>
    <n v="41"/>
    <n v="87"/>
    <n v="110"/>
    <n v="60"/>
    <n v="9570"/>
    <n v="5220"/>
    <n v="4350"/>
    <x v="1"/>
    <x v="0"/>
    <x v="0"/>
  </r>
  <r>
    <d v="2024-04-08T00:00:00"/>
    <x v="1"/>
    <x v="1"/>
    <x v="2"/>
    <n v="36"/>
    <n v="184"/>
    <n v="80"/>
    <n v="45"/>
    <n v="14720"/>
    <n v="8280"/>
    <n v="6440"/>
    <x v="0"/>
    <x v="0"/>
    <x v="0"/>
  </r>
  <r>
    <d v="2024-01-20T00:00:00"/>
    <x v="1"/>
    <x v="3"/>
    <x v="0"/>
    <n v="25"/>
    <n v="24"/>
    <n v="90"/>
    <n v="50"/>
    <n v="2160"/>
    <n v="1200"/>
    <n v="960"/>
    <x v="10"/>
    <x v="3"/>
    <x v="2"/>
  </r>
  <r>
    <d v="2024-08-19T00:00:00"/>
    <x v="3"/>
    <x v="4"/>
    <x v="1"/>
    <n v="34"/>
    <n v="56"/>
    <n v="100"/>
    <n v="55"/>
    <n v="5600"/>
    <n v="3080"/>
    <n v="2520"/>
    <x v="7"/>
    <x v="1"/>
    <x v="1"/>
  </r>
  <r>
    <d v="2024-06-16T00:00:00"/>
    <x v="1"/>
    <x v="2"/>
    <x v="2"/>
    <n v="39"/>
    <n v="180"/>
    <n v="130"/>
    <n v="70"/>
    <n v="23400"/>
    <n v="12600"/>
    <n v="10800"/>
    <x v="11"/>
    <x v="0"/>
    <x v="0"/>
  </r>
  <r>
    <d v="2024-02-13T00:00:00"/>
    <x v="2"/>
    <x v="3"/>
    <x v="2"/>
    <n v="32"/>
    <n v="81"/>
    <n v="90"/>
    <n v="50"/>
    <n v="7290"/>
    <n v="4050"/>
    <n v="3240"/>
    <x v="6"/>
    <x v="3"/>
    <x v="1"/>
  </r>
  <r>
    <d v="2024-03-29T00:00:00"/>
    <x v="0"/>
    <x v="5"/>
    <x v="2"/>
    <n v="39"/>
    <n v="60"/>
    <n v="100"/>
    <n v="55"/>
    <n v="6000"/>
    <n v="3300"/>
    <n v="2700"/>
    <x v="8"/>
    <x v="3"/>
    <x v="0"/>
  </r>
  <r>
    <d v="2024-09-24T00:00:00"/>
    <x v="0"/>
    <x v="3"/>
    <x v="0"/>
    <n v="30"/>
    <n v="65"/>
    <n v="90"/>
    <n v="50"/>
    <n v="5850"/>
    <n v="3250"/>
    <n v="2600"/>
    <x v="5"/>
    <x v="1"/>
    <x v="2"/>
  </r>
  <r>
    <d v="2024-03-25T00:00:00"/>
    <x v="1"/>
    <x v="5"/>
    <x v="2"/>
    <n v="33"/>
    <n v="153"/>
    <n v="100"/>
    <n v="55"/>
    <n v="15300"/>
    <n v="8415"/>
    <n v="6885"/>
    <x v="8"/>
    <x v="3"/>
    <x v="1"/>
  </r>
  <r>
    <d v="2024-02-11T00:00:00"/>
    <x v="2"/>
    <x v="5"/>
    <x v="2"/>
    <n v="28"/>
    <n v="109"/>
    <n v="100"/>
    <n v="55"/>
    <n v="10900"/>
    <n v="5995"/>
    <n v="4905"/>
    <x v="6"/>
    <x v="3"/>
    <x v="2"/>
  </r>
  <r>
    <d v="2024-12-30T00:00:00"/>
    <x v="0"/>
    <x v="2"/>
    <x v="1"/>
    <n v="18"/>
    <n v="42"/>
    <n v="130"/>
    <n v="70"/>
    <n v="5460"/>
    <n v="2940"/>
    <n v="2520"/>
    <x v="3"/>
    <x v="2"/>
    <x v="3"/>
  </r>
  <r>
    <d v="2024-01-08T00:00:00"/>
    <x v="1"/>
    <x v="4"/>
    <x v="2"/>
    <n v="23"/>
    <n v="13"/>
    <n v="100"/>
    <n v="55"/>
    <n v="1300"/>
    <n v="715"/>
    <n v="585"/>
    <x v="10"/>
    <x v="3"/>
    <x v="3"/>
  </r>
  <r>
    <d v="2024-12-31T00:00:00"/>
    <x v="3"/>
    <x v="1"/>
    <x v="0"/>
    <n v="24"/>
    <n v="55"/>
    <n v="80"/>
    <n v="45"/>
    <n v="4400"/>
    <n v="2475"/>
    <n v="1925"/>
    <x v="3"/>
    <x v="2"/>
    <x v="3"/>
  </r>
  <r>
    <d v="2024-01-16T00:00:00"/>
    <x v="2"/>
    <x v="2"/>
    <x v="2"/>
    <n v="19"/>
    <n v="39"/>
    <n v="130"/>
    <n v="70"/>
    <n v="5070"/>
    <n v="2730"/>
    <n v="2340"/>
    <x v="10"/>
    <x v="3"/>
    <x v="3"/>
  </r>
  <r>
    <d v="2024-09-16T00:00:00"/>
    <x v="3"/>
    <x v="2"/>
    <x v="0"/>
    <n v="30"/>
    <n v="56"/>
    <n v="130"/>
    <n v="70"/>
    <n v="7280"/>
    <n v="3920"/>
    <n v="3360"/>
    <x v="5"/>
    <x v="1"/>
    <x v="2"/>
  </r>
  <r>
    <d v="2024-01-25T00:00:00"/>
    <x v="0"/>
    <x v="1"/>
    <x v="0"/>
    <n v="22"/>
    <n v="35"/>
    <n v="80"/>
    <n v="45"/>
    <n v="2800"/>
    <n v="1575"/>
    <n v="1225"/>
    <x v="10"/>
    <x v="3"/>
    <x v="3"/>
  </r>
  <r>
    <d v="2024-08-14T00:00:00"/>
    <x v="3"/>
    <x v="1"/>
    <x v="0"/>
    <n v="31"/>
    <n v="79"/>
    <n v="80"/>
    <n v="45"/>
    <n v="6320"/>
    <n v="3555"/>
    <n v="2765"/>
    <x v="7"/>
    <x v="1"/>
    <x v="1"/>
  </r>
  <r>
    <d v="2024-07-29T00:00:00"/>
    <x v="3"/>
    <x v="0"/>
    <x v="1"/>
    <n v="30"/>
    <n v="102"/>
    <n v="110"/>
    <n v="60"/>
    <n v="11220"/>
    <n v="6120"/>
    <n v="5100"/>
    <x v="2"/>
    <x v="1"/>
    <x v="2"/>
  </r>
  <r>
    <d v="2024-08-03T00:00:00"/>
    <x v="3"/>
    <x v="5"/>
    <x v="2"/>
    <n v="33"/>
    <n v="50"/>
    <n v="100"/>
    <n v="55"/>
    <n v="5000"/>
    <n v="2750"/>
    <n v="2250"/>
    <x v="7"/>
    <x v="1"/>
    <x v="1"/>
  </r>
  <r>
    <d v="2024-08-05T00:00:00"/>
    <x v="0"/>
    <x v="1"/>
    <x v="2"/>
    <n v="28"/>
    <n v="70"/>
    <n v="80"/>
    <n v="45"/>
    <n v="5600"/>
    <n v="3150"/>
    <n v="2450"/>
    <x v="7"/>
    <x v="1"/>
    <x v="2"/>
  </r>
  <r>
    <d v="2024-12-03T00:00:00"/>
    <x v="1"/>
    <x v="0"/>
    <x v="0"/>
    <n v="18"/>
    <n v="31"/>
    <n v="110"/>
    <n v="60"/>
    <n v="3410"/>
    <n v="1860"/>
    <n v="1550"/>
    <x v="3"/>
    <x v="2"/>
    <x v="3"/>
  </r>
  <r>
    <d v="2024-11-20T00:00:00"/>
    <x v="3"/>
    <x v="4"/>
    <x v="2"/>
    <n v="21"/>
    <n v="42"/>
    <n v="100"/>
    <n v="55"/>
    <n v="4200"/>
    <n v="2310"/>
    <n v="1890"/>
    <x v="4"/>
    <x v="2"/>
    <x v="3"/>
  </r>
  <r>
    <d v="2024-09-28T00:00:00"/>
    <x v="0"/>
    <x v="1"/>
    <x v="2"/>
    <n v="32"/>
    <n v="76"/>
    <n v="80"/>
    <n v="45"/>
    <n v="6080"/>
    <n v="3420"/>
    <n v="2660"/>
    <x v="5"/>
    <x v="1"/>
    <x v="1"/>
  </r>
  <r>
    <d v="2024-07-19T00:00:00"/>
    <x v="3"/>
    <x v="0"/>
    <x v="2"/>
    <n v="28"/>
    <n v="92"/>
    <n v="110"/>
    <n v="60"/>
    <n v="10120"/>
    <n v="5520"/>
    <n v="4600"/>
    <x v="2"/>
    <x v="1"/>
    <x v="2"/>
  </r>
  <r>
    <d v="2024-01-04T00:00:00"/>
    <x v="0"/>
    <x v="4"/>
    <x v="2"/>
    <n v="20"/>
    <n v="30"/>
    <n v="100"/>
    <n v="55"/>
    <n v="3000"/>
    <n v="1650"/>
    <n v="1350"/>
    <x v="10"/>
    <x v="3"/>
    <x v="3"/>
  </r>
  <r>
    <d v="2024-11-08T00:00:00"/>
    <x v="1"/>
    <x v="5"/>
    <x v="1"/>
    <n v="18"/>
    <n v="21"/>
    <n v="100"/>
    <n v="55"/>
    <n v="2100"/>
    <n v="1155"/>
    <n v="945"/>
    <x v="4"/>
    <x v="2"/>
    <x v="3"/>
  </r>
  <r>
    <d v="2024-02-08T00:00:00"/>
    <x v="0"/>
    <x v="4"/>
    <x v="1"/>
    <n v="32"/>
    <n v="35"/>
    <n v="100"/>
    <n v="55"/>
    <n v="3500"/>
    <n v="1925"/>
    <n v="1575"/>
    <x v="6"/>
    <x v="3"/>
    <x v="1"/>
  </r>
  <r>
    <d v="2024-03-31T00:00:00"/>
    <x v="2"/>
    <x v="5"/>
    <x v="2"/>
    <n v="34"/>
    <n v="121"/>
    <n v="100"/>
    <n v="55"/>
    <n v="12100"/>
    <n v="6655"/>
    <n v="5445"/>
    <x v="8"/>
    <x v="3"/>
    <x v="1"/>
  </r>
  <r>
    <d v="2024-05-26T00:00:00"/>
    <x v="0"/>
    <x v="2"/>
    <x v="2"/>
    <n v="39"/>
    <n v="74"/>
    <n v="130"/>
    <n v="70"/>
    <n v="9620"/>
    <n v="5180"/>
    <n v="4440"/>
    <x v="1"/>
    <x v="0"/>
    <x v="0"/>
  </r>
  <r>
    <d v="2024-12-09T00:00:00"/>
    <x v="3"/>
    <x v="1"/>
    <x v="2"/>
    <n v="20"/>
    <n v="28"/>
    <n v="80"/>
    <n v="45"/>
    <n v="2240"/>
    <n v="1260"/>
    <n v="980"/>
    <x v="3"/>
    <x v="2"/>
    <x v="3"/>
  </r>
  <r>
    <d v="2024-10-01T00:00:00"/>
    <x v="0"/>
    <x v="4"/>
    <x v="1"/>
    <n v="34"/>
    <n v="92"/>
    <n v="100"/>
    <n v="55"/>
    <n v="9200"/>
    <n v="5060"/>
    <n v="4140"/>
    <x v="9"/>
    <x v="2"/>
    <x v="1"/>
  </r>
  <r>
    <d v="2024-09-07T00:00:00"/>
    <x v="2"/>
    <x v="3"/>
    <x v="0"/>
    <n v="33"/>
    <n v="43"/>
    <n v="90"/>
    <n v="50"/>
    <n v="3870"/>
    <n v="2150"/>
    <n v="1720"/>
    <x v="5"/>
    <x v="1"/>
    <x v="1"/>
  </r>
  <r>
    <d v="2024-11-12T00:00:00"/>
    <x v="0"/>
    <x v="1"/>
    <x v="2"/>
    <n v="25"/>
    <n v="42"/>
    <n v="80"/>
    <n v="45"/>
    <n v="3360"/>
    <n v="1890"/>
    <n v="1470"/>
    <x v="4"/>
    <x v="2"/>
    <x v="2"/>
  </r>
  <r>
    <d v="2024-11-03T00:00:00"/>
    <x v="2"/>
    <x v="5"/>
    <x v="2"/>
    <n v="26"/>
    <n v="23"/>
    <n v="100"/>
    <n v="55"/>
    <n v="2300"/>
    <n v="1265"/>
    <n v="1035"/>
    <x v="4"/>
    <x v="2"/>
    <x v="2"/>
  </r>
  <r>
    <d v="2024-07-14T00:00:00"/>
    <x v="3"/>
    <x v="1"/>
    <x v="1"/>
    <n v="33"/>
    <n v="70"/>
    <n v="80"/>
    <n v="45"/>
    <n v="5600"/>
    <n v="3150"/>
    <n v="2450"/>
    <x v="2"/>
    <x v="1"/>
    <x v="1"/>
  </r>
  <r>
    <d v="2024-05-06T00:00:00"/>
    <x v="2"/>
    <x v="3"/>
    <x v="0"/>
    <n v="34"/>
    <n v="61"/>
    <n v="90"/>
    <n v="50"/>
    <n v="5490"/>
    <n v="3050"/>
    <n v="2440"/>
    <x v="1"/>
    <x v="0"/>
    <x v="1"/>
  </r>
  <r>
    <d v="2024-09-23T00:00:00"/>
    <x v="3"/>
    <x v="2"/>
    <x v="0"/>
    <n v="29"/>
    <n v="98"/>
    <n v="130"/>
    <n v="70"/>
    <n v="12740"/>
    <n v="6860"/>
    <n v="5880"/>
    <x v="5"/>
    <x v="1"/>
    <x v="2"/>
  </r>
  <r>
    <d v="2024-12-22T00:00:00"/>
    <x v="0"/>
    <x v="3"/>
    <x v="2"/>
    <n v="21"/>
    <n v="18"/>
    <n v="90"/>
    <n v="50"/>
    <n v="1620"/>
    <n v="900"/>
    <n v="720"/>
    <x v="3"/>
    <x v="2"/>
    <x v="3"/>
  </r>
  <r>
    <d v="2024-02-04T00:00:00"/>
    <x v="3"/>
    <x v="4"/>
    <x v="0"/>
    <n v="32"/>
    <n v="74"/>
    <n v="100"/>
    <n v="55"/>
    <n v="7400"/>
    <n v="4070"/>
    <n v="3330"/>
    <x v="6"/>
    <x v="3"/>
    <x v="1"/>
  </r>
  <r>
    <d v="2024-11-27T00:00:00"/>
    <x v="2"/>
    <x v="2"/>
    <x v="2"/>
    <n v="27"/>
    <n v="28"/>
    <n v="130"/>
    <n v="70"/>
    <n v="3640"/>
    <n v="1960"/>
    <n v="1680"/>
    <x v="4"/>
    <x v="2"/>
    <x v="2"/>
  </r>
  <r>
    <d v="2024-11-03T00:00:00"/>
    <x v="1"/>
    <x v="5"/>
    <x v="0"/>
    <n v="26"/>
    <n v="29"/>
    <n v="100"/>
    <n v="55"/>
    <n v="2900"/>
    <n v="1595"/>
    <n v="1305"/>
    <x v="4"/>
    <x v="2"/>
    <x v="2"/>
  </r>
  <r>
    <d v="2024-06-05T00:00:00"/>
    <x v="1"/>
    <x v="3"/>
    <x v="2"/>
    <n v="37"/>
    <n v="53"/>
    <n v="90"/>
    <n v="50"/>
    <n v="4770"/>
    <n v="2650"/>
    <n v="2120"/>
    <x v="11"/>
    <x v="0"/>
    <x v="0"/>
  </r>
  <r>
    <d v="2024-03-16T00:00:00"/>
    <x v="1"/>
    <x v="5"/>
    <x v="1"/>
    <n v="38"/>
    <n v="140"/>
    <n v="100"/>
    <n v="55"/>
    <n v="14000"/>
    <n v="7700"/>
    <n v="6300"/>
    <x v="8"/>
    <x v="3"/>
    <x v="0"/>
  </r>
  <r>
    <d v="2024-12-26T00:00:00"/>
    <x v="1"/>
    <x v="3"/>
    <x v="2"/>
    <n v="19"/>
    <n v="34"/>
    <n v="90"/>
    <n v="50"/>
    <n v="3060"/>
    <n v="1700"/>
    <n v="1360"/>
    <x v="3"/>
    <x v="2"/>
    <x v="3"/>
  </r>
  <r>
    <d v="2024-03-01T00:00:00"/>
    <x v="0"/>
    <x v="5"/>
    <x v="2"/>
    <n v="41"/>
    <n v="173"/>
    <n v="100"/>
    <n v="55"/>
    <n v="17300"/>
    <n v="9515"/>
    <n v="7785"/>
    <x v="8"/>
    <x v="3"/>
    <x v="0"/>
  </r>
  <r>
    <d v="2024-04-02T00:00:00"/>
    <x v="1"/>
    <x v="5"/>
    <x v="2"/>
    <n v="39"/>
    <n v="133"/>
    <n v="100"/>
    <n v="55"/>
    <n v="13300"/>
    <n v="7315"/>
    <n v="5985"/>
    <x v="0"/>
    <x v="0"/>
    <x v="0"/>
  </r>
  <r>
    <d v="2024-06-25T00:00:00"/>
    <x v="0"/>
    <x v="3"/>
    <x v="2"/>
    <n v="35"/>
    <n v="185"/>
    <n v="90"/>
    <n v="50"/>
    <n v="16650"/>
    <n v="9250"/>
    <n v="7400"/>
    <x v="11"/>
    <x v="0"/>
    <x v="1"/>
  </r>
  <r>
    <d v="2024-12-18T00:00:00"/>
    <x v="3"/>
    <x v="5"/>
    <x v="0"/>
    <n v="23"/>
    <n v="51"/>
    <n v="100"/>
    <n v="55"/>
    <n v="5100"/>
    <n v="2805"/>
    <n v="2295"/>
    <x v="3"/>
    <x v="2"/>
    <x v="3"/>
  </r>
  <r>
    <d v="2024-08-20T00:00:00"/>
    <x v="0"/>
    <x v="5"/>
    <x v="0"/>
    <n v="28"/>
    <n v="50"/>
    <n v="100"/>
    <n v="55"/>
    <n v="5000"/>
    <n v="2750"/>
    <n v="2250"/>
    <x v="7"/>
    <x v="1"/>
    <x v="2"/>
  </r>
  <r>
    <d v="2024-02-28T00:00:00"/>
    <x v="3"/>
    <x v="3"/>
    <x v="2"/>
    <n v="28"/>
    <n v="40"/>
    <n v="90"/>
    <n v="50"/>
    <n v="3600"/>
    <n v="2000"/>
    <n v="1600"/>
    <x v="6"/>
    <x v="3"/>
    <x v="2"/>
  </r>
  <r>
    <d v="2024-11-28T00:00:00"/>
    <x v="0"/>
    <x v="2"/>
    <x v="2"/>
    <n v="25"/>
    <n v="28"/>
    <n v="130"/>
    <n v="70"/>
    <n v="3640"/>
    <n v="1960"/>
    <n v="1680"/>
    <x v="4"/>
    <x v="2"/>
    <x v="2"/>
  </r>
  <r>
    <d v="2024-04-18T00:00:00"/>
    <x v="0"/>
    <x v="3"/>
    <x v="0"/>
    <n v="41"/>
    <n v="152"/>
    <n v="90"/>
    <n v="50"/>
    <n v="13680"/>
    <n v="7600"/>
    <n v="6080"/>
    <x v="0"/>
    <x v="0"/>
    <x v="0"/>
  </r>
  <r>
    <d v="2024-01-08T00:00:00"/>
    <x v="0"/>
    <x v="4"/>
    <x v="0"/>
    <n v="24"/>
    <n v="56"/>
    <n v="100"/>
    <n v="55"/>
    <n v="5600"/>
    <n v="3080"/>
    <n v="2520"/>
    <x v="10"/>
    <x v="3"/>
    <x v="3"/>
  </r>
  <r>
    <d v="2024-06-25T00:00:00"/>
    <x v="1"/>
    <x v="3"/>
    <x v="2"/>
    <n v="35"/>
    <n v="176"/>
    <n v="90"/>
    <n v="50"/>
    <n v="15840"/>
    <n v="8800"/>
    <n v="7040"/>
    <x v="11"/>
    <x v="0"/>
    <x v="1"/>
  </r>
  <r>
    <d v="2024-03-22T00:00:00"/>
    <x v="2"/>
    <x v="1"/>
    <x v="0"/>
    <n v="32"/>
    <n v="162"/>
    <n v="80"/>
    <n v="45"/>
    <n v="12960"/>
    <n v="7290"/>
    <n v="5670"/>
    <x v="8"/>
    <x v="3"/>
    <x v="1"/>
  </r>
  <r>
    <d v="2024-11-27T00:00:00"/>
    <x v="2"/>
    <x v="1"/>
    <x v="1"/>
    <n v="26"/>
    <n v="38"/>
    <n v="80"/>
    <n v="45"/>
    <n v="3040"/>
    <n v="1710"/>
    <n v="1330"/>
    <x v="4"/>
    <x v="2"/>
    <x v="2"/>
  </r>
  <r>
    <d v="2024-07-20T00:00:00"/>
    <x v="2"/>
    <x v="5"/>
    <x v="2"/>
    <n v="31"/>
    <n v="80"/>
    <n v="100"/>
    <n v="55"/>
    <n v="8000"/>
    <n v="4400"/>
    <n v="3600"/>
    <x v="2"/>
    <x v="1"/>
    <x v="1"/>
  </r>
  <r>
    <d v="2024-07-19T00:00:00"/>
    <x v="3"/>
    <x v="3"/>
    <x v="0"/>
    <n v="30"/>
    <n v="56"/>
    <n v="90"/>
    <n v="50"/>
    <n v="5040"/>
    <n v="2800"/>
    <n v="2240"/>
    <x v="2"/>
    <x v="1"/>
    <x v="2"/>
  </r>
  <r>
    <d v="2024-01-02T00:00:00"/>
    <x v="3"/>
    <x v="3"/>
    <x v="1"/>
    <n v="18"/>
    <n v="11"/>
    <n v="90"/>
    <n v="50"/>
    <n v="990"/>
    <n v="550"/>
    <n v="440"/>
    <x v="10"/>
    <x v="3"/>
    <x v="3"/>
  </r>
  <r>
    <d v="2024-09-24T00:00:00"/>
    <x v="2"/>
    <x v="5"/>
    <x v="0"/>
    <n v="26"/>
    <n v="91"/>
    <n v="100"/>
    <n v="55"/>
    <n v="9100"/>
    <n v="5005"/>
    <n v="4095"/>
    <x v="5"/>
    <x v="1"/>
    <x v="2"/>
  </r>
  <r>
    <d v="2024-05-06T00:00:00"/>
    <x v="1"/>
    <x v="5"/>
    <x v="0"/>
    <n v="36"/>
    <n v="77"/>
    <n v="100"/>
    <n v="55"/>
    <n v="7700"/>
    <n v="4235"/>
    <n v="3465"/>
    <x v="1"/>
    <x v="0"/>
    <x v="0"/>
  </r>
  <r>
    <d v="2024-04-16T00:00:00"/>
    <x v="1"/>
    <x v="5"/>
    <x v="2"/>
    <n v="33"/>
    <n v="171"/>
    <n v="100"/>
    <n v="55"/>
    <n v="17100"/>
    <n v="9405"/>
    <n v="7695"/>
    <x v="0"/>
    <x v="0"/>
    <x v="1"/>
  </r>
  <r>
    <d v="2024-10-14T00:00:00"/>
    <x v="3"/>
    <x v="4"/>
    <x v="1"/>
    <n v="32"/>
    <n v="92"/>
    <n v="100"/>
    <n v="55"/>
    <n v="9200"/>
    <n v="5060"/>
    <n v="4140"/>
    <x v="9"/>
    <x v="2"/>
    <x v="1"/>
  </r>
  <r>
    <d v="2024-12-25T00:00:00"/>
    <x v="0"/>
    <x v="4"/>
    <x v="2"/>
    <n v="18"/>
    <n v="45"/>
    <n v="100"/>
    <n v="55"/>
    <n v="4500"/>
    <n v="2475"/>
    <n v="2025"/>
    <x v="3"/>
    <x v="2"/>
    <x v="3"/>
  </r>
  <r>
    <d v="2024-06-15T00:00:00"/>
    <x v="0"/>
    <x v="3"/>
    <x v="0"/>
    <n v="32"/>
    <n v="105"/>
    <n v="90"/>
    <n v="50"/>
    <n v="9450"/>
    <n v="5250"/>
    <n v="4200"/>
    <x v="11"/>
    <x v="0"/>
    <x v="1"/>
  </r>
  <r>
    <d v="2024-07-11T00:00:00"/>
    <x v="0"/>
    <x v="2"/>
    <x v="0"/>
    <n v="28"/>
    <n v="47"/>
    <n v="130"/>
    <n v="70"/>
    <n v="6110"/>
    <n v="3290"/>
    <n v="2820"/>
    <x v="2"/>
    <x v="1"/>
    <x v="2"/>
  </r>
  <r>
    <d v="2024-05-05T00:00:00"/>
    <x v="0"/>
    <x v="3"/>
    <x v="0"/>
    <n v="33"/>
    <n v="185"/>
    <n v="90"/>
    <n v="50"/>
    <n v="16650"/>
    <n v="9250"/>
    <n v="7400"/>
    <x v="1"/>
    <x v="0"/>
    <x v="1"/>
  </r>
  <r>
    <d v="2024-06-24T00:00:00"/>
    <x v="3"/>
    <x v="1"/>
    <x v="2"/>
    <n v="32"/>
    <n v="181"/>
    <n v="80"/>
    <n v="45"/>
    <n v="14480"/>
    <n v="8145"/>
    <n v="6335"/>
    <x v="11"/>
    <x v="0"/>
    <x v="1"/>
  </r>
  <r>
    <d v="2024-12-30T00:00:00"/>
    <x v="0"/>
    <x v="2"/>
    <x v="1"/>
    <n v="21"/>
    <n v="12"/>
    <n v="130"/>
    <n v="70"/>
    <n v="1560"/>
    <n v="840"/>
    <n v="720"/>
    <x v="3"/>
    <x v="2"/>
    <x v="3"/>
  </r>
  <r>
    <d v="2024-06-02T00:00:00"/>
    <x v="0"/>
    <x v="1"/>
    <x v="2"/>
    <n v="33"/>
    <n v="100"/>
    <n v="80"/>
    <n v="45"/>
    <n v="8000"/>
    <n v="4500"/>
    <n v="3500"/>
    <x v="11"/>
    <x v="0"/>
    <x v="1"/>
  </r>
  <r>
    <d v="2024-09-18T00:00:00"/>
    <x v="2"/>
    <x v="0"/>
    <x v="2"/>
    <n v="30"/>
    <n v="66"/>
    <n v="110"/>
    <n v="60"/>
    <n v="7260"/>
    <n v="3960"/>
    <n v="3300"/>
    <x v="5"/>
    <x v="1"/>
    <x v="2"/>
  </r>
  <r>
    <d v="2024-02-04T00:00:00"/>
    <x v="1"/>
    <x v="4"/>
    <x v="0"/>
    <n v="29"/>
    <n v="58"/>
    <n v="100"/>
    <n v="55"/>
    <n v="5800"/>
    <n v="3190"/>
    <n v="2610"/>
    <x v="6"/>
    <x v="3"/>
    <x v="2"/>
  </r>
  <r>
    <d v="2024-04-18T00:00:00"/>
    <x v="1"/>
    <x v="2"/>
    <x v="1"/>
    <n v="33"/>
    <n v="98"/>
    <n v="130"/>
    <n v="70"/>
    <n v="12740"/>
    <n v="6860"/>
    <n v="5880"/>
    <x v="0"/>
    <x v="0"/>
    <x v="1"/>
  </r>
  <r>
    <d v="2024-12-30T00:00:00"/>
    <x v="3"/>
    <x v="0"/>
    <x v="2"/>
    <n v="19"/>
    <n v="51"/>
    <n v="110"/>
    <n v="60"/>
    <n v="5610"/>
    <n v="3060"/>
    <n v="2550"/>
    <x v="3"/>
    <x v="2"/>
    <x v="3"/>
  </r>
  <r>
    <d v="2024-04-18T00:00:00"/>
    <x v="0"/>
    <x v="1"/>
    <x v="2"/>
    <n v="38"/>
    <n v="70"/>
    <n v="80"/>
    <n v="45"/>
    <n v="5600"/>
    <n v="3150"/>
    <n v="2450"/>
    <x v="0"/>
    <x v="0"/>
    <x v="0"/>
  </r>
  <r>
    <d v="2024-11-19T00:00:00"/>
    <x v="2"/>
    <x v="5"/>
    <x v="2"/>
    <n v="19"/>
    <n v="44"/>
    <n v="100"/>
    <n v="55"/>
    <n v="4400"/>
    <n v="2420"/>
    <n v="1980"/>
    <x v="4"/>
    <x v="2"/>
    <x v="3"/>
  </r>
  <r>
    <d v="2024-05-18T00:00:00"/>
    <x v="1"/>
    <x v="1"/>
    <x v="0"/>
    <n v="39"/>
    <n v="131"/>
    <n v="80"/>
    <n v="45"/>
    <n v="10480"/>
    <n v="5895"/>
    <n v="4585"/>
    <x v="1"/>
    <x v="0"/>
    <x v="0"/>
  </r>
  <r>
    <d v="2024-08-01T00:00:00"/>
    <x v="1"/>
    <x v="3"/>
    <x v="2"/>
    <n v="30"/>
    <n v="37"/>
    <n v="90"/>
    <n v="50"/>
    <n v="3330"/>
    <n v="1850"/>
    <n v="1480"/>
    <x v="7"/>
    <x v="1"/>
    <x v="2"/>
  </r>
  <r>
    <d v="2024-05-24T00:00:00"/>
    <x v="3"/>
    <x v="0"/>
    <x v="2"/>
    <n v="36"/>
    <n v="140"/>
    <n v="110"/>
    <n v="60"/>
    <n v="15400"/>
    <n v="8400"/>
    <n v="7000"/>
    <x v="1"/>
    <x v="0"/>
    <x v="0"/>
  </r>
  <r>
    <d v="2024-12-19T00:00:00"/>
    <x v="2"/>
    <x v="0"/>
    <x v="1"/>
    <n v="23"/>
    <n v="30"/>
    <n v="110"/>
    <n v="60"/>
    <n v="3300"/>
    <n v="1800"/>
    <n v="1500"/>
    <x v="3"/>
    <x v="2"/>
    <x v="3"/>
  </r>
  <r>
    <d v="2024-01-05T00:00:00"/>
    <x v="0"/>
    <x v="0"/>
    <x v="1"/>
    <n v="23"/>
    <n v="21"/>
    <n v="110"/>
    <n v="60"/>
    <n v="2310"/>
    <n v="1260"/>
    <n v="1050"/>
    <x v="10"/>
    <x v="3"/>
    <x v="3"/>
  </r>
  <r>
    <d v="2024-01-17T00:00:00"/>
    <x v="2"/>
    <x v="2"/>
    <x v="2"/>
    <n v="23"/>
    <n v="41"/>
    <n v="130"/>
    <n v="70"/>
    <n v="5330"/>
    <n v="2870"/>
    <n v="2460"/>
    <x v="10"/>
    <x v="3"/>
    <x v="3"/>
  </r>
  <r>
    <d v="2024-07-01T00:00:00"/>
    <x v="0"/>
    <x v="5"/>
    <x v="2"/>
    <n v="34"/>
    <n v="52"/>
    <n v="100"/>
    <n v="55"/>
    <n v="5200"/>
    <n v="2860"/>
    <n v="2340"/>
    <x v="2"/>
    <x v="1"/>
    <x v="1"/>
  </r>
  <r>
    <d v="2024-08-29T00:00:00"/>
    <x v="3"/>
    <x v="0"/>
    <x v="2"/>
    <n v="29"/>
    <n v="80"/>
    <n v="110"/>
    <n v="60"/>
    <n v="8800"/>
    <n v="4800"/>
    <n v="4000"/>
    <x v="7"/>
    <x v="1"/>
    <x v="2"/>
  </r>
  <r>
    <d v="2024-12-30T00:00:00"/>
    <x v="3"/>
    <x v="5"/>
    <x v="2"/>
    <n v="18"/>
    <n v="54"/>
    <n v="100"/>
    <n v="55"/>
    <n v="5400"/>
    <n v="2970"/>
    <n v="2430"/>
    <x v="3"/>
    <x v="2"/>
    <x v="3"/>
  </r>
  <r>
    <d v="2024-12-02T00:00:00"/>
    <x v="3"/>
    <x v="4"/>
    <x v="2"/>
    <n v="20"/>
    <n v="47"/>
    <n v="100"/>
    <n v="55"/>
    <n v="4700"/>
    <n v="2585"/>
    <n v="2115"/>
    <x v="3"/>
    <x v="2"/>
    <x v="3"/>
  </r>
  <r>
    <d v="2024-11-20T00:00:00"/>
    <x v="1"/>
    <x v="3"/>
    <x v="1"/>
    <n v="19"/>
    <n v="25"/>
    <n v="90"/>
    <n v="50"/>
    <n v="2250"/>
    <n v="1250"/>
    <n v="1000"/>
    <x v="4"/>
    <x v="2"/>
    <x v="3"/>
  </r>
  <r>
    <d v="2024-01-22T00:00:00"/>
    <x v="1"/>
    <x v="0"/>
    <x v="0"/>
    <n v="22"/>
    <n v="51"/>
    <n v="110"/>
    <n v="60"/>
    <n v="5610"/>
    <n v="3060"/>
    <n v="2550"/>
    <x v="10"/>
    <x v="3"/>
    <x v="3"/>
  </r>
  <r>
    <d v="2024-07-22T00:00:00"/>
    <x v="0"/>
    <x v="4"/>
    <x v="2"/>
    <n v="28"/>
    <n v="86"/>
    <n v="100"/>
    <n v="55"/>
    <n v="8600"/>
    <n v="4730"/>
    <n v="3870"/>
    <x v="2"/>
    <x v="1"/>
    <x v="2"/>
  </r>
  <r>
    <d v="2024-01-19T00:00:00"/>
    <x v="3"/>
    <x v="1"/>
    <x v="2"/>
    <n v="24"/>
    <n v="39"/>
    <n v="80"/>
    <n v="45"/>
    <n v="3120"/>
    <n v="1755"/>
    <n v="1365"/>
    <x v="10"/>
    <x v="3"/>
    <x v="3"/>
  </r>
  <r>
    <d v="2024-03-07T00:00:00"/>
    <x v="3"/>
    <x v="0"/>
    <x v="0"/>
    <n v="39"/>
    <n v="86"/>
    <n v="110"/>
    <n v="60"/>
    <n v="9460"/>
    <n v="5160"/>
    <n v="4300"/>
    <x v="8"/>
    <x v="3"/>
    <x v="0"/>
  </r>
  <r>
    <d v="2024-05-15T00:00:00"/>
    <x v="1"/>
    <x v="0"/>
    <x v="0"/>
    <n v="33"/>
    <n v="84"/>
    <n v="110"/>
    <n v="60"/>
    <n v="9240"/>
    <n v="5040"/>
    <n v="4200"/>
    <x v="1"/>
    <x v="0"/>
    <x v="1"/>
  </r>
  <r>
    <d v="2024-07-09T00:00:00"/>
    <x v="2"/>
    <x v="1"/>
    <x v="2"/>
    <n v="31"/>
    <n v="33"/>
    <n v="80"/>
    <n v="45"/>
    <n v="2640"/>
    <n v="1485"/>
    <n v="1155"/>
    <x v="2"/>
    <x v="1"/>
    <x v="1"/>
  </r>
  <r>
    <d v="2024-03-15T00:00:00"/>
    <x v="0"/>
    <x v="5"/>
    <x v="0"/>
    <n v="34"/>
    <n v="83"/>
    <n v="100"/>
    <n v="55"/>
    <n v="8300"/>
    <n v="4565"/>
    <n v="3735"/>
    <x v="8"/>
    <x v="3"/>
    <x v="1"/>
  </r>
  <r>
    <d v="2024-05-02T00:00:00"/>
    <x v="1"/>
    <x v="4"/>
    <x v="2"/>
    <n v="37"/>
    <n v="173"/>
    <n v="100"/>
    <n v="55"/>
    <n v="17300"/>
    <n v="9515"/>
    <n v="7785"/>
    <x v="1"/>
    <x v="0"/>
    <x v="0"/>
  </r>
  <r>
    <d v="2024-07-06T00:00:00"/>
    <x v="1"/>
    <x v="1"/>
    <x v="0"/>
    <n v="27"/>
    <n v="60"/>
    <n v="80"/>
    <n v="45"/>
    <n v="4800"/>
    <n v="2700"/>
    <n v="2100"/>
    <x v="2"/>
    <x v="1"/>
    <x v="2"/>
  </r>
  <r>
    <d v="2024-10-21T00:00:00"/>
    <x v="0"/>
    <x v="5"/>
    <x v="2"/>
    <n v="31"/>
    <n v="84"/>
    <n v="100"/>
    <n v="55"/>
    <n v="8400"/>
    <n v="4620"/>
    <n v="3780"/>
    <x v="9"/>
    <x v="2"/>
    <x v="1"/>
  </r>
  <r>
    <d v="2024-08-08T00:00:00"/>
    <x v="3"/>
    <x v="3"/>
    <x v="0"/>
    <n v="30"/>
    <n v="59"/>
    <n v="90"/>
    <n v="50"/>
    <n v="5310"/>
    <n v="2950"/>
    <n v="2360"/>
    <x v="7"/>
    <x v="1"/>
    <x v="2"/>
  </r>
  <r>
    <d v="2024-09-25T00:00:00"/>
    <x v="2"/>
    <x v="3"/>
    <x v="0"/>
    <n v="26"/>
    <n v="60"/>
    <n v="90"/>
    <n v="50"/>
    <n v="5400"/>
    <n v="3000"/>
    <n v="2400"/>
    <x v="5"/>
    <x v="1"/>
    <x v="2"/>
  </r>
  <r>
    <d v="2024-07-01T00:00:00"/>
    <x v="2"/>
    <x v="3"/>
    <x v="0"/>
    <n v="31"/>
    <n v="101"/>
    <n v="90"/>
    <n v="50"/>
    <n v="9090"/>
    <n v="5050"/>
    <n v="4040"/>
    <x v="2"/>
    <x v="1"/>
    <x v="1"/>
  </r>
  <r>
    <d v="2024-02-21T00:00:00"/>
    <x v="2"/>
    <x v="3"/>
    <x v="2"/>
    <n v="33"/>
    <n v="82"/>
    <n v="90"/>
    <n v="50"/>
    <n v="7380"/>
    <n v="4100"/>
    <n v="3280"/>
    <x v="6"/>
    <x v="3"/>
    <x v="1"/>
  </r>
  <r>
    <d v="2024-11-30T00:00:00"/>
    <x v="2"/>
    <x v="3"/>
    <x v="2"/>
    <n v="25"/>
    <n v="32"/>
    <n v="90"/>
    <n v="50"/>
    <n v="2880"/>
    <n v="1600"/>
    <n v="1280"/>
    <x v="4"/>
    <x v="2"/>
    <x v="2"/>
  </r>
  <r>
    <d v="2024-01-12T00:00:00"/>
    <x v="0"/>
    <x v="5"/>
    <x v="2"/>
    <n v="26"/>
    <n v="43"/>
    <n v="100"/>
    <n v="55"/>
    <n v="4300"/>
    <n v="2365"/>
    <n v="1935"/>
    <x v="10"/>
    <x v="3"/>
    <x v="2"/>
  </r>
  <r>
    <d v="2024-07-22T00:00:00"/>
    <x v="0"/>
    <x v="5"/>
    <x v="2"/>
    <n v="27"/>
    <n v="55"/>
    <n v="100"/>
    <n v="55"/>
    <n v="5500"/>
    <n v="3025"/>
    <n v="2475"/>
    <x v="2"/>
    <x v="1"/>
    <x v="2"/>
  </r>
  <r>
    <d v="2024-04-05T00:00:00"/>
    <x v="3"/>
    <x v="3"/>
    <x v="0"/>
    <n v="40"/>
    <n v="57"/>
    <n v="90"/>
    <n v="50"/>
    <n v="5130"/>
    <n v="2850"/>
    <n v="2280"/>
    <x v="0"/>
    <x v="0"/>
    <x v="0"/>
  </r>
  <r>
    <d v="2024-11-20T00:00:00"/>
    <x v="0"/>
    <x v="2"/>
    <x v="1"/>
    <n v="20"/>
    <n v="10"/>
    <n v="130"/>
    <n v="70"/>
    <n v="1300"/>
    <n v="700"/>
    <n v="600"/>
    <x v="4"/>
    <x v="2"/>
    <x v="3"/>
  </r>
  <r>
    <d v="2024-05-16T00:00:00"/>
    <x v="0"/>
    <x v="4"/>
    <x v="0"/>
    <n v="34"/>
    <n v="192"/>
    <n v="100"/>
    <n v="55"/>
    <n v="19200"/>
    <n v="10560"/>
    <n v="8640"/>
    <x v="1"/>
    <x v="0"/>
    <x v="1"/>
  </r>
  <r>
    <d v="2024-05-20T00:00:00"/>
    <x v="2"/>
    <x v="5"/>
    <x v="1"/>
    <n v="41"/>
    <n v="194"/>
    <n v="100"/>
    <n v="55"/>
    <n v="19400"/>
    <n v="10670"/>
    <n v="8730"/>
    <x v="1"/>
    <x v="0"/>
    <x v="0"/>
  </r>
  <r>
    <d v="2024-08-05T00:00:00"/>
    <x v="3"/>
    <x v="3"/>
    <x v="0"/>
    <n v="32"/>
    <n v="84"/>
    <n v="90"/>
    <n v="50"/>
    <n v="7560"/>
    <n v="4200"/>
    <n v="3360"/>
    <x v="7"/>
    <x v="1"/>
    <x v="1"/>
  </r>
  <r>
    <d v="2024-07-31T00:00:00"/>
    <x v="1"/>
    <x v="0"/>
    <x v="1"/>
    <n v="26"/>
    <n v="40"/>
    <n v="110"/>
    <n v="60"/>
    <n v="4400"/>
    <n v="2400"/>
    <n v="2000"/>
    <x v="2"/>
    <x v="1"/>
    <x v="2"/>
  </r>
  <r>
    <d v="2024-10-07T00:00:00"/>
    <x v="0"/>
    <x v="5"/>
    <x v="0"/>
    <n v="30"/>
    <n v="41"/>
    <n v="100"/>
    <n v="55"/>
    <n v="4100"/>
    <n v="2255"/>
    <n v="1845"/>
    <x v="9"/>
    <x v="2"/>
    <x v="2"/>
  </r>
  <r>
    <d v="2024-10-24T00:00:00"/>
    <x v="2"/>
    <x v="1"/>
    <x v="2"/>
    <n v="28"/>
    <n v="70"/>
    <n v="80"/>
    <n v="45"/>
    <n v="5600"/>
    <n v="3150"/>
    <n v="2450"/>
    <x v="9"/>
    <x v="2"/>
    <x v="2"/>
  </r>
  <r>
    <d v="2024-10-29T00:00:00"/>
    <x v="1"/>
    <x v="1"/>
    <x v="0"/>
    <n v="34"/>
    <n v="100"/>
    <n v="80"/>
    <n v="45"/>
    <n v="8000"/>
    <n v="4500"/>
    <n v="3500"/>
    <x v="9"/>
    <x v="2"/>
    <x v="1"/>
  </r>
  <r>
    <d v="2024-01-13T00:00:00"/>
    <x v="3"/>
    <x v="5"/>
    <x v="1"/>
    <n v="26"/>
    <n v="25"/>
    <n v="100"/>
    <n v="55"/>
    <n v="2500"/>
    <n v="1375"/>
    <n v="1125"/>
    <x v="10"/>
    <x v="3"/>
    <x v="2"/>
  </r>
  <r>
    <d v="2024-11-24T00:00:00"/>
    <x v="1"/>
    <x v="4"/>
    <x v="0"/>
    <n v="24"/>
    <n v="45"/>
    <n v="100"/>
    <n v="55"/>
    <n v="4500"/>
    <n v="2475"/>
    <n v="2025"/>
    <x v="4"/>
    <x v="2"/>
    <x v="3"/>
  </r>
  <r>
    <d v="2024-06-21T00:00:00"/>
    <x v="2"/>
    <x v="1"/>
    <x v="1"/>
    <n v="33"/>
    <n v="85"/>
    <n v="80"/>
    <n v="45"/>
    <n v="6800"/>
    <n v="3825"/>
    <n v="2975"/>
    <x v="11"/>
    <x v="0"/>
    <x v="1"/>
  </r>
  <r>
    <d v="2024-01-03T00:00:00"/>
    <x v="1"/>
    <x v="5"/>
    <x v="2"/>
    <n v="23"/>
    <n v="49"/>
    <n v="100"/>
    <n v="55"/>
    <n v="4900"/>
    <n v="2695"/>
    <n v="2205"/>
    <x v="10"/>
    <x v="3"/>
    <x v="3"/>
  </r>
  <r>
    <d v="2024-03-05T00:00:00"/>
    <x v="0"/>
    <x v="4"/>
    <x v="2"/>
    <n v="32"/>
    <n v="106"/>
    <n v="100"/>
    <n v="55"/>
    <n v="10600"/>
    <n v="5830"/>
    <n v="4770"/>
    <x v="8"/>
    <x v="3"/>
    <x v="1"/>
  </r>
  <r>
    <d v="2024-04-27T00:00:00"/>
    <x v="2"/>
    <x v="0"/>
    <x v="2"/>
    <n v="36"/>
    <n v="123"/>
    <n v="110"/>
    <n v="60"/>
    <n v="13530"/>
    <n v="7380"/>
    <n v="6150"/>
    <x v="0"/>
    <x v="0"/>
    <x v="0"/>
  </r>
  <r>
    <d v="2024-04-11T00:00:00"/>
    <x v="0"/>
    <x v="5"/>
    <x v="2"/>
    <n v="34"/>
    <n v="187"/>
    <n v="100"/>
    <n v="55"/>
    <n v="18700"/>
    <n v="10285"/>
    <n v="8415"/>
    <x v="0"/>
    <x v="0"/>
    <x v="1"/>
  </r>
  <r>
    <d v="2024-04-20T00:00:00"/>
    <x v="3"/>
    <x v="5"/>
    <x v="2"/>
    <n v="40"/>
    <n v="78"/>
    <n v="100"/>
    <n v="55"/>
    <n v="7800"/>
    <n v="4290"/>
    <n v="3510"/>
    <x v="0"/>
    <x v="0"/>
    <x v="0"/>
  </r>
  <r>
    <d v="2024-08-15T00:00:00"/>
    <x v="2"/>
    <x v="1"/>
    <x v="0"/>
    <n v="26"/>
    <n v="57"/>
    <n v="80"/>
    <n v="45"/>
    <n v="4560"/>
    <n v="2565"/>
    <n v="1995"/>
    <x v="7"/>
    <x v="1"/>
    <x v="2"/>
  </r>
  <r>
    <d v="2024-04-13T00:00:00"/>
    <x v="3"/>
    <x v="1"/>
    <x v="0"/>
    <n v="38"/>
    <n v="183"/>
    <n v="80"/>
    <n v="45"/>
    <n v="14640"/>
    <n v="8235"/>
    <n v="6405"/>
    <x v="0"/>
    <x v="0"/>
    <x v="0"/>
  </r>
  <r>
    <d v="2024-08-11T00:00:00"/>
    <x v="1"/>
    <x v="5"/>
    <x v="0"/>
    <n v="30"/>
    <n v="86"/>
    <n v="100"/>
    <n v="55"/>
    <n v="8600"/>
    <n v="4730"/>
    <n v="3870"/>
    <x v="7"/>
    <x v="1"/>
    <x v="2"/>
  </r>
  <r>
    <d v="2024-05-14T00:00:00"/>
    <x v="1"/>
    <x v="4"/>
    <x v="0"/>
    <n v="32"/>
    <n v="57"/>
    <n v="100"/>
    <n v="55"/>
    <n v="5700"/>
    <n v="3135"/>
    <n v="2565"/>
    <x v="1"/>
    <x v="0"/>
    <x v="1"/>
  </r>
  <r>
    <d v="2024-08-04T00:00:00"/>
    <x v="0"/>
    <x v="5"/>
    <x v="2"/>
    <n v="34"/>
    <n v="96"/>
    <n v="100"/>
    <n v="55"/>
    <n v="9600"/>
    <n v="5280"/>
    <n v="4320"/>
    <x v="7"/>
    <x v="1"/>
    <x v="1"/>
  </r>
  <r>
    <d v="2024-06-05T00:00:00"/>
    <x v="2"/>
    <x v="1"/>
    <x v="0"/>
    <n v="41"/>
    <n v="53"/>
    <n v="80"/>
    <n v="45"/>
    <n v="4240"/>
    <n v="2385"/>
    <n v="1855"/>
    <x v="11"/>
    <x v="0"/>
    <x v="0"/>
  </r>
  <r>
    <d v="2024-04-13T00:00:00"/>
    <x v="1"/>
    <x v="2"/>
    <x v="1"/>
    <n v="37"/>
    <n v="124"/>
    <n v="130"/>
    <n v="70"/>
    <n v="16120"/>
    <n v="8680"/>
    <n v="7440"/>
    <x v="0"/>
    <x v="0"/>
    <x v="0"/>
  </r>
  <r>
    <d v="2024-08-20T00:00:00"/>
    <x v="1"/>
    <x v="1"/>
    <x v="0"/>
    <n v="34"/>
    <n v="86"/>
    <n v="80"/>
    <n v="45"/>
    <n v="6880"/>
    <n v="3870"/>
    <n v="3010"/>
    <x v="7"/>
    <x v="1"/>
    <x v="1"/>
  </r>
  <r>
    <d v="2024-10-27T00:00:00"/>
    <x v="3"/>
    <x v="5"/>
    <x v="0"/>
    <n v="26"/>
    <n v="97"/>
    <n v="100"/>
    <n v="55"/>
    <n v="9700"/>
    <n v="5335"/>
    <n v="4365"/>
    <x v="9"/>
    <x v="2"/>
    <x v="2"/>
  </r>
  <r>
    <d v="2024-02-18T00:00:00"/>
    <x v="0"/>
    <x v="2"/>
    <x v="0"/>
    <n v="34"/>
    <n v="86"/>
    <n v="130"/>
    <n v="70"/>
    <n v="11180"/>
    <n v="6020"/>
    <n v="5160"/>
    <x v="6"/>
    <x v="3"/>
    <x v="1"/>
  </r>
  <r>
    <d v="2024-06-22T00:00:00"/>
    <x v="0"/>
    <x v="1"/>
    <x v="2"/>
    <n v="40"/>
    <n v="101"/>
    <n v="80"/>
    <n v="45"/>
    <n v="8080"/>
    <n v="4545"/>
    <n v="3535"/>
    <x v="11"/>
    <x v="0"/>
    <x v="0"/>
  </r>
  <r>
    <d v="2024-09-04T00:00:00"/>
    <x v="3"/>
    <x v="1"/>
    <x v="0"/>
    <n v="30"/>
    <n v="44"/>
    <n v="80"/>
    <n v="45"/>
    <n v="3520"/>
    <n v="1980"/>
    <n v="1540"/>
    <x v="5"/>
    <x v="1"/>
    <x v="2"/>
  </r>
  <r>
    <d v="2024-02-15T00:00:00"/>
    <x v="0"/>
    <x v="1"/>
    <x v="0"/>
    <n v="28"/>
    <n v="107"/>
    <n v="80"/>
    <n v="45"/>
    <n v="8560"/>
    <n v="4815"/>
    <n v="3745"/>
    <x v="6"/>
    <x v="3"/>
    <x v="2"/>
  </r>
  <r>
    <d v="2024-01-06T00:00:00"/>
    <x v="0"/>
    <x v="5"/>
    <x v="2"/>
    <n v="18"/>
    <n v="42"/>
    <n v="100"/>
    <n v="55"/>
    <n v="4200"/>
    <n v="2310"/>
    <n v="1890"/>
    <x v="10"/>
    <x v="3"/>
    <x v="3"/>
  </r>
  <r>
    <d v="2024-08-27T00:00:00"/>
    <x v="2"/>
    <x v="2"/>
    <x v="2"/>
    <n v="34"/>
    <n v="99"/>
    <n v="130"/>
    <n v="70"/>
    <n v="12870"/>
    <n v="6930"/>
    <n v="5940"/>
    <x v="7"/>
    <x v="1"/>
    <x v="1"/>
  </r>
  <r>
    <d v="2024-09-28T00:00:00"/>
    <x v="2"/>
    <x v="3"/>
    <x v="2"/>
    <n v="34"/>
    <n v="88"/>
    <n v="90"/>
    <n v="50"/>
    <n v="7920"/>
    <n v="4400"/>
    <n v="3520"/>
    <x v="5"/>
    <x v="1"/>
    <x v="1"/>
  </r>
  <r>
    <d v="2024-11-27T00:00:00"/>
    <x v="2"/>
    <x v="5"/>
    <x v="0"/>
    <n v="23"/>
    <n v="47"/>
    <n v="100"/>
    <n v="55"/>
    <n v="4700"/>
    <n v="2585"/>
    <n v="2115"/>
    <x v="4"/>
    <x v="2"/>
    <x v="3"/>
  </r>
  <r>
    <d v="2024-06-02T00:00:00"/>
    <x v="3"/>
    <x v="1"/>
    <x v="0"/>
    <n v="33"/>
    <n v="174"/>
    <n v="80"/>
    <n v="45"/>
    <n v="13920"/>
    <n v="7830"/>
    <n v="6090"/>
    <x v="11"/>
    <x v="0"/>
    <x v="1"/>
  </r>
  <r>
    <d v="2024-09-29T00:00:00"/>
    <x v="2"/>
    <x v="2"/>
    <x v="1"/>
    <n v="33"/>
    <n v="37"/>
    <n v="130"/>
    <n v="70"/>
    <n v="4810"/>
    <n v="2590"/>
    <n v="2220"/>
    <x v="5"/>
    <x v="1"/>
    <x v="1"/>
  </r>
  <r>
    <d v="2024-12-17T00:00:00"/>
    <x v="0"/>
    <x v="5"/>
    <x v="2"/>
    <n v="21"/>
    <n v="26"/>
    <n v="100"/>
    <n v="55"/>
    <n v="2600"/>
    <n v="1430"/>
    <n v="1170"/>
    <x v="3"/>
    <x v="2"/>
    <x v="3"/>
  </r>
  <r>
    <d v="2024-03-28T00:00:00"/>
    <x v="3"/>
    <x v="0"/>
    <x v="0"/>
    <n v="35"/>
    <n v="123"/>
    <n v="110"/>
    <n v="60"/>
    <n v="13530"/>
    <n v="7380"/>
    <n v="6150"/>
    <x v="8"/>
    <x v="3"/>
    <x v="1"/>
  </r>
  <r>
    <d v="2024-04-10T00:00:00"/>
    <x v="2"/>
    <x v="5"/>
    <x v="0"/>
    <n v="33"/>
    <n v="153"/>
    <n v="100"/>
    <n v="55"/>
    <n v="15300"/>
    <n v="8415"/>
    <n v="6885"/>
    <x v="0"/>
    <x v="0"/>
    <x v="1"/>
  </r>
  <r>
    <d v="2024-02-24T00:00:00"/>
    <x v="0"/>
    <x v="0"/>
    <x v="2"/>
    <n v="29"/>
    <n v="96"/>
    <n v="110"/>
    <n v="60"/>
    <n v="10560"/>
    <n v="5760"/>
    <n v="4800"/>
    <x v="6"/>
    <x v="3"/>
    <x v="2"/>
  </r>
  <r>
    <d v="2024-09-21T00:00:00"/>
    <x v="3"/>
    <x v="1"/>
    <x v="1"/>
    <n v="34"/>
    <n v="30"/>
    <n v="80"/>
    <n v="45"/>
    <n v="2400"/>
    <n v="1350"/>
    <n v="1050"/>
    <x v="5"/>
    <x v="1"/>
    <x v="1"/>
  </r>
  <r>
    <d v="2024-04-02T00:00:00"/>
    <x v="1"/>
    <x v="5"/>
    <x v="2"/>
    <n v="34"/>
    <n v="143"/>
    <n v="100"/>
    <n v="55"/>
    <n v="14300"/>
    <n v="7865"/>
    <n v="6435"/>
    <x v="0"/>
    <x v="0"/>
    <x v="1"/>
  </r>
  <r>
    <d v="2024-04-08T00:00:00"/>
    <x v="2"/>
    <x v="2"/>
    <x v="2"/>
    <n v="35"/>
    <n v="67"/>
    <n v="130"/>
    <n v="70"/>
    <n v="8710"/>
    <n v="4690"/>
    <n v="4020"/>
    <x v="0"/>
    <x v="0"/>
    <x v="1"/>
  </r>
  <r>
    <d v="2024-12-14T00:00:00"/>
    <x v="2"/>
    <x v="3"/>
    <x v="0"/>
    <n v="18"/>
    <n v="59"/>
    <n v="90"/>
    <n v="50"/>
    <n v="5310"/>
    <n v="2950"/>
    <n v="2360"/>
    <x v="3"/>
    <x v="2"/>
    <x v="3"/>
  </r>
  <r>
    <d v="2024-02-27T00:00:00"/>
    <x v="3"/>
    <x v="4"/>
    <x v="2"/>
    <n v="34"/>
    <n v="88"/>
    <n v="100"/>
    <n v="55"/>
    <n v="8800"/>
    <n v="4840"/>
    <n v="3960"/>
    <x v="6"/>
    <x v="3"/>
    <x v="1"/>
  </r>
  <r>
    <d v="2024-04-14T00:00:00"/>
    <x v="3"/>
    <x v="1"/>
    <x v="2"/>
    <n v="36"/>
    <n v="117"/>
    <n v="80"/>
    <n v="45"/>
    <n v="9360"/>
    <n v="5265"/>
    <n v="4095"/>
    <x v="0"/>
    <x v="0"/>
    <x v="0"/>
  </r>
  <r>
    <d v="2024-09-12T00:00:00"/>
    <x v="2"/>
    <x v="5"/>
    <x v="0"/>
    <n v="28"/>
    <n v="55"/>
    <n v="100"/>
    <n v="55"/>
    <n v="5500"/>
    <n v="3025"/>
    <n v="2475"/>
    <x v="5"/>
    <x v="1"/>
    <x v="2"/>
  </r>
  <r>
    <d v="2024-04-18T00:00:00"/>
    <x v="3"/>
    <x v="5"/>
    <x v="1"/>
    <n v="36"/>
    <n v="89"/>
    <n v="100"/>
    <n v="55"/>
    <n v="8900"/>
    <n v="4895"/>
    <n v="4005"/>
    <x v="0"/>
    <x v="0"/>
    <x v="0"/>
  </r>
  <r>
    <d v="2024-05-11T00:00:00"/>
    <x v="3"/>
    <x v="4"/>
    <x v="0"/>
    <n v="39"/>
    <n v="158"/>
    <n v="100"/>
    <n v="55"/>
    <n v="15800"/>
    <n v="8690"/>
    <n v="7110"/>
    <x v="1"/>
    <x v="0"/>
    <x v="0"/>
  </r>
  <r>
    <d v="2024-02-10T00:00:00"/>
    <x v="2"/>
    <x v="5"/>
    <x v="2"/>
    <n v="28"/>
    <n v="97"/>
    <n v="100"/>
    <n v="55"/>
    <n v="9700"/>
    <n v="5335"/>
    <n v="4365"/>
    <x v="6"/>
    <x v="3"/>
    <x v="2"/>
  </r>
  <r>
    <d v="2024-07-13T00:00:00"/>
    <x v="3"/>
    <x v="1"/>
    <x v="2"/>
    <n v="27"/>
    <n v="65"/>
    <n v="80"/>
    <n v="45"/>
    <n v="5200"/>
    <n v="2925"/>
    <n v="2275"/>
    <x v="2"/>
    <x v="1"/>
    <x v="2"/>
  </r>
  <r>
    <d v="2024-01-24T00:00:00"/>
    <x v="3"/>
    <x v="5"/>
    <x v="0"/>
    <n v="24"/>
    <n v="58"/>
    <n v="100"/>
    <n v="55"/>
    <n v="5800"/>
    <n v="3190"/>
    <n v="2610"/>
    <x v="10"/>
    <x v="3"/>
    <x v="3"/>
  </r>
  <r>
    <d v="2024-06-29T00:00:00"/>
    <x v="2"/>
    <x v="5"/>
    <x v="2"/>
    <n v="40"/>
    <n v="111"/>
    <n v="100"/>
    <n v="55"/>
    <n v="11100"/>
    <n v="6105"/>
    <n v="4995"/>
    <x v="11"/>
    <x v="0"/>
    <x v="0"/>
  </r>
  <r>
    <d v="2024-11-08T00:00:00"/>
    <x v="0"/>
    <x v="3"/>
    <x v="2"/>
    <n v="25"/>
    <n v="19"/>
    <n v="90"/>
    <n v="50"/>
    <n v="1710"/>
    <n v="950"/>
    <n v="760"/>
    <x v="4"/>
    <x v="2"/>
    <x v="2"/>
  </r>
  <r>
    <d v="2024-04-12T00:00:00"/>
    <x v="0"/>
    <x v="5"/>
    <x v="2"/>
    <n v="35"/>
    <n v="135"/>
    <n v="100"/>
    <n v="55"/>
    <n v="13500"/>
    <n v="7425"/>
    <n v="6075"/>
    <x v="0"/>
    <x v="0"/>
    <x v="1"/>
  </r>
  <r>
    <d v="2024-11-27T00:00:00"/>
    <x v="1"/>
    <x v="1"/>
    <x v="0"/>
    <n v="24"/>
    <n v="14"/>
    <n v="80"/>
    <n v="45"/>
    <n v="1120"/>
    <n v="630"/>
    <n v="490"/>
    <x v="4"/>
    <x v="2"/>
    <x v="3"/>
  </r>
  <r>
    <d v="2024-11-09T00:00:00"/>
    <x v="0"/>
    <x v="5"/>
    <x v="0"/>
    <n v="20"/>
    <n v="36"/>
    <n v="100"/>
    <n v="55"/>
    <n v="3600"/>
    <n v="1980"/>
    <n v="1620"/>
    <x v="4"/>
    <x v="2"/>
    <x v="3"/>
  </r>
  <r>
    <d v="2024-07-24T00:00:00"/>
    <x v="0"/>
    <x v="1"/>
    <x v="1"/>
    <n v="33"/>
    <n v="68"/>
    <n v="80"/>
    <n v="45"/>
    <n v="5440"/>
    <n v="3060"/>
    <n v="2380"/>
    <x v="2"/>
    <x v="1"/>
    <x v="1"/>
  </r>
  <r>
    <d v="2024-01-22T00:00:00"/>
    <x v="2"/>
    <x v="5"/>
    <x v="0"/>
    <n v="27"/>
    <n v="40"/>
    <n v="100"/>
    <n v="55"/>
    <n v="4000"/>
    <n v="2200"/>
    <n v="1800"/>
    <x v="10"/>
    <x v="3"/>
    <x v="2"/>
  </r>
  <r>
    <d v="2024-07-20T00:00:00"/>
    <x v="0"/>
    <x v="1"/>
    <x v="0"/>
    <n v="31"/>
    <n v="40"/>
    <n v="80"/>
    <n v="45"/>
    <n v="3200"/>
    <n v="1800"/>
    <n v="1400"/>
    <x v="2"/>
    <x v="1"/>
    <x v="1"/>
  </r>
  <r>
    <d v="2024-09-29T00:00:00"/>
    <x v="0"/>
    <x v="3"/>
    <x v="0"/>
    <n v="30"/>
    <n v="50"/>
    <n v="90"/>
    <n v="50"/>
    <n v="4500"/>
    <n v="2500"/>
    <n v="2000"/>
    <x v="5"/>
    <x v="1"/>
    <x v="2"/>
  </r>
  <r>
    <d v="2024-04-11T00:00:00"/>
    <x v="1"/>
    <x v="0"/>
    <x v="2"/>
    <n v="40"/>
    <n v="130"/>
    <n v="110"/>
    <n v="60"/>
    <n v="14300"/>
    <n v="7800"/>
    <n v="6500"/>
    <x v="0"/>
    <x v="0"/>
    <x v="0"/>
  </r>
  <r>
    <d v="2024-03-28T00:00:00"/>
    <x v="0"/>
    <x v="1"/>
    <x v="2"/>
    <n v="38"/>
    <n v="50"/>
    <n v="80"/>
    <n v="45"/>
    <n v="4000"/>
    <n v="2250"/>
    <n v="1750"/>
    <x v="8"/>
    <x v="3"/>
    <x v="0"/>
  </r>
  <r>
    <d v="2024-06-15T00:00:00"/>
    <x v="0"/>
    <x v="4"/>
    <x v="2"/>
    <n v="37"/>
    <n v="122"/>
    <n v="100"/>
    <n v="55"/>
    <n v="12200"/>
    <n v="6710"/>
    <n v="5490"/>
    <x v="11"/>
    <x v="0"/>
    <x v="0"/>
  </r>
  <r>
    <d v="2024-09-18T00:00:00"/>
    <x v="0"/>
    <x v="0"/>
    <x v="2"/>
    <n v="32"/>
    <n v="78"/>
    <n v="110"/>
    <n v="60"/>
    <n v="8580"/>
    <n v="4680"/>
    <n v="3900"/>
    <x v="5"/>
    <x v="1"/>
    <x v="1"/>
  </r>
  <r>
    <d v="2024-07-10T00:00:00"/>
    <x v="2"/>
    <x v="5"/>
    <x v="2"/>
    <n v="29"/>
    <n v="61"/>
    <n v="100"/>
    <n v="55"/>
    <n v="6100"/>
    <n v="3355"/>
    <n v="2745"/>
    <x v="2"/>
    <x v="1"/>
    <x v="2"/>
  </r>
  <r>
    <d v="2024-12-04T00:00:00"/>
    <x v="0"/>
    <x v="0"/>
    <x v="0"/>
    <n v="19"/>
    <n v="42"/>
    <n v="110"/>
    <n v="60"/>
    <n v="4620"/>
    <n v="2520"/>
    <n v="2100"/>
    <x v="3"/>
    <x v="2"/>
    <x v="3"/>
  </r>
  <r>
    <d v="2024-07-07T00:00:00"/>
    <x v="2"/>
    <x v="1"/>
    <x v="0"/>
    <n v="34"/>
    <n v="35"/>
    <n v="80"/>
    <n v="45"/>
    <n v="2800"/>
    <n v="1575"/>
    <n v="1225"/>
    <x v="2"/>
    <x v="1"/>
    <x v="1"/>
  </r>
  <r>
    <d v="2024-06-16T00:00:00"/>
    <x v="2"/>
    <x v="1"/>
    <x v="0"/>
    <n v="39"/>
    <n v="183"/>
    <n v="80"/>
    <n v="45"/>
    <n v="14640"/>
    <n v="8235"/>
    <n v="6405"/>
    <x v="11"/>
    <x v="0"/>
    <x v="0"/>
  </r>
  <r>
    <d v="2024-01-13T00:00:00"/>
    <x v="1"/>
    <x v="2"/>
    <x v="1"/>
    <n v="27"/>
    <n v="25"/>
    <n v="130"/>
    <n v="70"/>
    <n v="3250"/>
    <n v="1750"/>
    <n v="1500"/>
    <x v="10"/>
    <x v="3"/>
    <x v="2"/>
  </r>
  <r>
    <d v="2024-03-29T00:00:00"/>
    <x v="0"/>
    <x v="1"/>
    <x v="2"/>
    <n v="37"/>
    <n v="169"/>
    <n v="80"/>
    <n v="45"/>
    <n v="13520"/>
    <n v="7605"/>
    <n v="5915"/>
    <x v="8"/>
    <x v="3"/>
    <x v="0"/>
  </r>
  <r>
    <d v="2024-11-08T00:00:00"/>
    <x v="0"/>
    <x v="0"/>
    <x v="0"/>
    <n v="19"/>
    <n v="12"/>
    <n v="110"/>
    <n v="60"/>
    <n v="1320"/>
    <n v="720"/>
    <n v="600"/>
    <x v="4"/>
    <x v="2"/>
    <x v="3"/>
  </r>
  <r>
    <d v="2024-09-28T00:00:00"/>
    <x v="1"/>
    <x v="2"/>
    <x v="2"/>
    <n v="26"/>
    <n v="101"/>
    <n v="130"/>
    <n v="70"/>
    <n v="13130"/>
    <n v="7070"/>
    <n v="6060"/>
    <x v="5"/>
    <x v="1"/>
    <x v="2"/>
  </r>
  <r>
    <d v="2024-04-22T00:00:00"/>
    <x v="2"/>
    <x v="1"/>
    <x v="2"/>
    <n v="32"/>
    <n v="189"/>
    <n v="80"/>
    <n v="45"/>
    <n v="15120"/>
    <n v="8505"/>
    <n v="6615"/>
    <x v="0"/>
    <x v="0"/>
    <x v="1"/>
  </r>
  <r>
    <d v="2024-04-06T00:00:00"/>
    <x v="3"/>
    <x v="5"/>
    <x v="0"/>
    <n v="32"/>
    <n v="169"/>
    <n v="100"/>
    <n v="55"/>
    <n v="16900"/>
    <n v="9295"/>
    <n v="7605"/>
    <x v="0"/>
    <x v="0"/>
    <x v="1"/>
  </r>
  <r>
    <d v="2024-11-13T00:00:00"/>
    <x v="0"/>
    <x v="1"/>
    <x v="0"/>
    <n v="24"/>
    <n v="11"/>
    <n v="80"/>
    <n v="45"/>
    <n v="880"/>
    <n v="495"/>
    <n v="385"/>
    <x v="4"/>
    <x v="2"/>
    <x v="3"/>
  </r>
  <r>
    <d v="2024-10-15T00:00:00"/>
    <x v="1"/>
    <x v="3"/>
    <x v="0"/>
    <n v="32"/>
    <n v="43"/>
    <n v="90"/>
    <n v="50"/>
    <n v="3870"/>
    <n v="2150"/>
    <n v="1720"/>
    <x v="9"/>
    <x v="2"/>
    <x v="1"/>
  </r>
  <r>
    <d v="2024-05-07T00:00:00"/>
    <x v="0"/>
    <x v="0"/>
    <x v="2"/>
    <n v="41"/>
    <n v="131"/>
    <n v="110"/>
    <n v="60"/>
    <n v="14410"/>
    <n v="7860"/>
    <n v="6550"/>
    <x v="1"/>
    <x v="0"/>
    <x v="0"/>
  </r>
  <r>
    <d v="2024-12-26T00:00:00"/>
    <x v="0"/>
    <x v="2"/>
    <x v="0"/>
    <n v="19"/>
    <n v="26"/>
    <n v="130"/>
    <n v="70"/>
    <n v="3380"/>
    <n v="1820"/>
    <n v="1560"/>
    <x v="3"/>
    <x v="2"/>
    <x v="3"/>
  </r>
  <r>
    <d v="2024-01-06T00:00:00"/>
    <x v="3"/>
    <x v="3"/>
    <x v="0"/>
    <n v="27"/>
    <n v="27"/>
    <n v="90"/>
    <n v="50"/>
    <n v="2430"/>
    <n v="1350"/>
    <n v="1080"/>
    <x v="10"/>
    <x v="3"/>
    <x v="2"/>
  </r>
  <r>
    <d v="2024-08-06T00:00:00"/>
    <x v="0"/>
    <x v="3"/>
    <x v="0"/>
    <n v="27"/>
    <n v="64"/>
    <n v="90"/>
    <n v="50"/>
    <n v="5760"/>
    <n v="3200"/>
    <n v="2560"/>
    <x v="7"/>
    <x v="1"/>
    <x v="2"/>
  </r>
  <r>
    <d v="2024-05-03T00:00:00"/>
    <x v="1"/>
    <x v="3"/>
    <x v="2"/>
    <n v="37"/>
    <n v="88"/>
    <n v="90"/>
    <n v="50"/>
    <n v="7920"/>
    <n v="4400"/>
    <n v="3520"/>
    <x v="1"/>
    <x v="0"/>
    <x v="0"/>
  </r>
  <r>
    <d v="2024-01-20T00:00:00"/>
    <x v="0"/>
    <x v="5"/>
    <x v="0"/>
    <n v="20"/>
    <n v="29"/>
    <n v="100"/>
    <n v="55"/>
    <n v="2900"/>
    <n v="1595"/>
    <n v="1305"/>
    <x v="10"/>
    <x v="3"/>
    <x v="3"/>
  </r>
  <r>
    <d v="2024-11-17T00:00:00"/>
    <x v="0"/>
    <x v="5"/>
    <x v="1"/>
    <n v="27"/>
    <n v="24"/>
    <n v="100"/>
    <n v="55"/>
    <n v="2400"/>
    <n v="1320"/>
    <n v="1080"/>
    <x v="4"/>
    <x v="2"/>
    <x v="2"/>
  </r>
  <r>
    <d v="2024-03-13T00:00:00"/>
    <x v="1"/>
    <x v="0"/>
    <x v="2"/>
    <n v="33"/>
    <n v="149"/>
    <n v="110"/>
    <n v="60"/>
    <n v="16390"/>
    <n v="8940"/>
    <n v="7450"/>
    <x v="8"/>
    <x v="3"/>
    <x v="1"/>
  </r>
  <r>
    <d v="2024-03-05T00:00:00"/>
    <x v="2"/>
    <x v="1"/>
    <x v="0"/>
    <n v="37"/>
    <n v="108"/>
    <n v="80"/>
    <n v="45"/>
    <n v="8640"/>
    <n v="4860"/>
    <n v="3780"/>
    <x v="8"/>
    <x v="3"/>
    <x v="0"/>
  </r>
  <r>
    <d v="2024-02-17T00:00:00"/>
    <x v="1"/>
    <x v="1"/>
    <x v="0"/>
    <n v="34"/>
    <n v="59"/>
    <n v="80"/>
    <n v="45"/>
    <n v="4720"/>
    <n v="2655"/>
    <n v="2065"/>
    <x v="6"/>
    <x v="3"/>
    <x v="1"/>
  </r>
  <r>
    <d v="2024-10-10T00:00:00"/>
    <x v="2"/>
    <x v="3"/>
    <x v="1"/>
    <n v="29"/>
    <n v="38"/>
    <n v="90"/>
    <n v="50"/>
    <n v="3420"/>
    <n v="1900"/>
    <n v="1520"/>
    <x v="9"/>
    <x v="2"/>
    <x v="2"/>
  </r>
  <r>
    <d v="2024-03-23T00:00:00"/>
    <x v="2"/>
    <x v="2"/>
    <x v="0"/>
    <n v="37"/>
    <n v="155"/>
    <n v="130"/>
    <n v="70"/>
    <n v="20150"/>
    <n v="10850"/>
    <n v="9300"/>
    <x v="8"/>
    <x v="3"/>
    <x v="0"/>
  </r>
  <r>
    <d v="2024-06-24T00:00:00"/>
    <x v="2"/>
    <x v="0"/>
    <x v="0"/>
    <n v="40"/>
    <n v="134"/>
    <n v="110"/>
    <n v="60"/>
    <n v="14740"/>
    <n v="8040"/>
    <n v="6700"/>
    <x v="11"/>
    <x v="0"/>
    <x v="0"/>
  </r>
  <r>
    <d v="2024-09-27T00:00:00"/>
    <x v="2"/>
    <x v="4"/>
    <x v="2"/>
    <n v="33"/>
    <n v="48"/>
    <n v="100"/>
    <n v="55"/>
    <n v="4800"/>
    <n v="2640"/>
    <n v="2160"/>
    <x v="5"/>
    <x v="1"/>
    <x v="1"/>
  </r>
  <r>
    <d v="2024-12-13T00:00:00"/>
    <x v="1"/>
    <x v="3"/>
    <x v="2"/>
    <n v="25"/>
    <n v="29"/>
    <n v="90"/>
    <n v="50"/>
    <n v="2610"/>
    <n v="1450"/>
    <n v="1160"/>
    <x v="3"/>
    <x v="2"/>
    <x v="2"/>
  </r>
  <r>
    <d v="2024-02-08T00:00:00"/>
    <x v="3"/>
    <x v="1"/>
    <x v="0"/>
    <n v="26"/>
    <n v="76"/>
    <n v="80"/>
    <n v="45"/>
    <n v="6080"/>
    <n v="3420"/>
    <n v="2660"/>
    <x v="6"/>
    <x v="3"/>
    <x v="2"/>
  </r>
  <r>
    <d v="2024-12-31T00:00:00"/>
    <x v="0"/>
    <x v="5"/>
    <x v="2"/>
    <n v="20"/>
    <n v="59"/>
    <n v="100"/>
    <n v="55"/>
    <n v="5900"/>
    <n v="3245"/>
    <n v="2655"/>
    <x v="3"/>
    <x v="2"/>
    <x v="3"/>
  </r>
  <r>
    <d v="2024-11-13T00:00:00"/>
    <x v="1"/>
    <x v="3"/>
    <x v="2"/>
    <n v="24"/>
    <n v="57"/>
    <n v="90"/>
    <n v="50"/>
    <n v="5130"/>
    <n v="2850"/>
    <n v="2280"/>
    <x v="4"/>
    <x v="2"/>
    <x v="3"/>
  </r>
  <r>
    <d v="2024-05-17T00:00:00"/>
    <x v="2"/>
    <x v="4"/>
    <x v="2"/>
    <n v="39"/>
    <n v="112"/>
    <n v="100"/>
    <n v="55"/>
    <n v="11200"/>
    <n v="6160"/>
    <n v="5040"/>
    <x v="1"/>
    <x v="0"/>
    <x v="0"/>
  </r>
  <r>
    <d v="2024-06-22T00:00:00"/>
    <x v="2"/>
    <x v="5"/>
    <x v="2"/>
    <n v="39"/>
    <n v="140"/>
    <n v="100"/>
    <n v="55"/>
    <n v="14000"/>
    <n v="7700"/>
    <n v="6300"/>
    <x v="11"/>
    <x v="0"/>
    <x v="0"/>
  </r>
  <r>
    <d v="2024-06-27T00:00:00"/>
    <x v="2"/>
    <x v="0"/>
    <x v="2"/>
    <n v="40"/>
    <n v="156"/>
    <n v="110"/>
    <n v="60"/>
    <n v="17160"/>
    <n v="9360"/>
    <n v="7800"/>
    <x v="11"/>
    <x v="0"/>
    <x v="0"/>
  </r>
  <r>
    <d v="2024-10-21T00:00:00"/>
    <x v="2"/>
    <x v="5"/>
    <x v="1"/>
    <n v="27"/>
    <n v="38"/>
    <n v="100"/>
    <n v="55"/>
    <n v="3800"/>
    <n v="2090"/>
    <n v="1710"/>
    <x v="9"/>
    <x v="2"/>
    <x v="2"/>
  </r>
  <r>
    <d v="2024-02-25T00:00:00"/>
    <x v="2"/>
    <x v="0"/>
    <x v="1"/>
    <n v="31"/>
    <n v="89"/>
    <n v="110"/>
    <n v="60"/>
    <n v="9790"/>
    <n v="5340"/>
    <n v="4450"/>
    <x v="6"/>
    <x v="3"/>
    <x v="1"/>
  </r>
  <r>
    <d v="2024-06-16T00:00:00"/>
    <x v="1"/>
    <x v="5"/>
    <x v="1"/>
    <n v="33"/>
    <n v="141"/>
    <n v="100"/>
    <n v="55"/>
    <n v="14100"/>
    <n v="7755"/>
    <n v="6345"/>
    <x v="11"/>
    <x v="0"/>
    <x v="1"/>
  </r>
  <r>
    <d v="2024-12-19T00:00:00"/>
    <x v="1"/>
    <x v="3"/>
    <x v="0"/>
    <n v="21"/>
    <n v="22"/>
    <n v="90"/>
    <n v="50"/>
    <n v="1980"/>
    <n v="1100"/>
    <n v="880"/>
    <x v="3"/>
    <x v="2"/>
    <x v="3"/>
  </r>
  <r>
    <d v="2024-08-01T00:00:00"/>
    <x v="0"/>
    <x v="3"/>
    <x v="2"/>
    <n v="26"/>
    <n v="97"/>
    <n v="90"/>
    <n v="50"/>
    <n v="8730"/>
    <n v="4850"/>
    <n v="3880"/>
    <x v="7"/>
    <x v="1"/>
    <x v="2"/>
  </r>
  <r>
    <d v="2024-11-06T00:00:00"/>
    <x v="0"/>
    <x v="0"/>
    <x v="2"/>
    <n v="23"/>
    <n v="47"/>
    <n v="110"/>
    <n v="60"/>
    <n v="5170"/>
    <n v="2820"/>
    <n v="2350"/>
    <x v="4"/>
    <x v="2"/>
    <x v="3"/>
  </r>
  <r>
    <d v="2024-12-06T00:00:00"/>
    <x v="0"/>
    <x v="1"/>
    <x v="2"/>
    <n v="19"/>
    <n v="30"/>
    <n v="80"/>
    <n v="45"/>
    <n v="2400"/>
    <n v="1350"/>
    <n v="1050"/>
    <x v="3"/>
    <x v="2"/>
    <x v="3"/>
  </r>
  <r>
    <d v="2024-04-18T00:00:00"/>
    <x v="2"/>
    <x v="4"/>
    <x v="0"/>
    <n v="35"/>
    <n v="178"/>
    <n v="100"/>
    <n v="55"/>
    <n v="17800"/>
    <n v="9790"/>
    <n v="8010"/>
    <x v="0"/>
    <x v="0"/>
    <x v="1"/>
  </r>
  <r>
    <d v="2024-05-19T00:00:00"/>
    <x v="2"/>
    <x v="1"/>
    <x v="0"/>
    <n v="41"/>
    <n v="70"/>
    <n v="80"/>
    <n v="45"/>
    <n v="5600"/>
    <n v="3150"/>
    <n v="2450"/>
    <x v="1"/>
    <x v="0"/>
    <x v="0"/>
  </r>
  <r>
    <d v="2024-02-21T00:00:00"/>
    <x v="3"/>
    <x v="4"/>
    <x v="2"/>
    <n v="30"/>
    <n v="84"/>
    <n v="100"/>
    <n v="55"/>
    <n v="8400"/>
    <n v="4620"/>
    <n v="3780"/>
    <x v="6"/>
    <x v="3"/>
    <x v="2"/>
  </r>
  <r>
    <d v="2024-02-05T00:00:00"/>
    <x v="2"/>
    <x v="3"/>
    <x v="2"/>
    <n v="26"/>
    <n v="109"/>
    <n v="90"/>
    <n v="50"/>
    <n v="9810"/>
    <n v="5450"/>
    <n v="4360"/>
    <x v="6"/>
    <x v="3"/>
    <x v="2"/>
  </r>
  <r>
    <d v="2024-07-31T00:00:00"/>
    <x v="0"/>
    <x v="2"/>
    <x v="0"/>
    <n v="31"/>
    <n v="68"/>
    <n v="130"/>
    <n v="70"/>
    <n v="8840"/>
    <n v="4760"/>
    <n v="4080"/>
    <x v="2"/>
    <x v="1"/>
    <x v="1"/>
  </r>
  <r>
    <d v="2024-04-27T00:00:00"/>
    <x v="3"/>
    <x v="0"/>
    <x v="2"/>
    <n v="37"/>
    <n v="106"/>
    <n v="110"/>
    <n v="60"/>
    <n v="11660"/>
    <n v="6360"/>
    <n v="5300"/>
    <x v="0"/>
    <x v="0"/>
    <x v="0"/>
  </r>
  <r>
    <d v="2024-10-11T00:00:00"/>
    <x v="2"/>
    <x v="5"/>
    <x v="0"/>
    <n v="26"/>
    <n v="52"/>
    <n v="100"/>
    <n v="55"/>
    <n v="5200"/>
    <n v="2860"/>
    <n v="2340"/>
    <x v="9"/>
    <x v="2"/>
    <x v="2"/>
  </r>
  <r>
    <d v="2024-09-03T00:00:00"/>
    <x v="1"/>
    <x v="1"/>
    <x v="0"/>
    <n v="31"/>
    <n v="47"/>
    <n v="80"/>
    <n v="45"/>
    <n v="3760"/>
    <n v="2115"/>
    <n v="1645"/>
    <x v="5"/>
    <x v="1"/>
    <x v="1"/>
  </r>
  <r>
    <d v="2024-09-02T00:00:00"/>
    <x v="0"/>
    <x v="1"/>
    <x v="2"/>
    <n v="28"/>
    <n v="71"/>
    <n v="80"/>
    <n v="45"/>
    <n v="5680"/>
    <n v="3195"/>
    <n v="2485"/>
    <x v="5"/>
    <x v="1"/>
    <x v="2"/>
  </r>
  <r>
    <d v="2024-05-01T00:00:00"/>
    <x v="0"/>
    <x v="5"/>
    <x v="2"/>
    <n v="38"/>
    <n v="77"/>
    <n v="100"/>
    <n v="55"/>
    <n v="7700"/>
    <n v="4235"/>
    <n v="3465"/>
    <x v="1"/>
    <x v="0"/>
    <x v="0"/>
  </r>
  <r>
    <d v="2024-09-03T00:00:00"/>
    <x v="0"/>
    <x v="1"/>
    <x v="2"/>
    <n v="33"/>
    <n v="57"/>
    <n v="80"/>
    <n v="45"/>
    <n v="4560"/>
    <n v="2565"/>
    <n v="1995"/>
    <x v="5"/>
    <x v="1"/>
    <x v="1"/>
  </r>
  <r>
    <d v="2024-03-12T00:00:00"/>
    <x v="2"/>
    <x v="2"/>
    <x v="0"/>
    <n v="34"/>
    <n v="68"/>
    <n v="130"/>
    <n v="70"/>
    <n v="8840"/>
    <n v="4760"/>
    <n v="4080"/>
    <x v="8"/>
    <x v="3"/>
    <x v="1"/>
  </r>
  <r>
    <d v="2024-11-25T00:00:00"/>
    <x v="1"/>
    <x v="5"/>
    <x v="2"/>
    <n v="20"/>
    <n v="43"/>
    <n v="100"/>
    <n v="55"/>
    <n v="4300"/>
    <n v="2365"/>
    <n v="1935"/>
    <x v="4"/>
    <x v="2"/>
    <x v="3"/>
  </r>
  <r>
    <d v="2024-05-20T00:00:00"/>
    <x v="1"/>
    <x v="4"/>
    <x v="0"/>
    <n v="32"/>
    <n v="97"/>
    <n v="100"/>
    <n v="55"/>
    <n v="9700"/>
    <n v="5335"/>
    <n v="4365"/>
    <x v="1"/>
    <x v="0"/>
    <x v="1"/>
  </r>
  <r>
    <d v="2024-09-01T00:00:00"/>
    <x v="0"/>
    <x v="1"/>
    <x v="2"/>
    <n v="26"/>
    <n v="55"/>
    <n v="80"/>
    <n v="45"/>
    <n v="4400"/>
    <n v="2475"/>
    <n v="1925"/>
    <x v="5"/>
    <x v="1"/>
    <x v="2"/>
  </r>
  <r>
    <d v="2024-03-11T00:00:00"/>
    <x v="1"/>
    <x v="1"/>
    <x v="0"/>
    <n v="32"/>
    <n v="107"/>
    <n v="80"/>
    <n v="45"/>
    <n v="8560"/>
    <n v="4815"/>
    <n v="3745"/>
    <x v="8"/>
    <x v="3"/>
    <x v="1"/>
  </r>
  <r>
    <d v="2024-04-12T00:00:00"/>
    <x v="0"/>
    <x v="5"/>
    <x v="0"/>
    <n v="34"/>
    <n v="74"/>
    <n v="100"/>
    <n v="55"/>
    <n v="7400"/>
    <n v="4070"/>
    <n v="3330"/>
    <x v="0"/>
    <x v="0"/>
    <x v="1"/>
  </r>
  <r>
    <d v="2024-07-25T00:00:00"/>
    <x v="0"/>
    <x v="4"/>
    <x v="0"/>
    <n v="34"/>
    <n v="45"/>
    <n v="100"/>
    <n v="55"/>
    <n v="4500"/>
    <n v="2475"/>
    <n v="2025"/>
    <x v="2"/>
    <x v="1"/>
    <x v="1"/>
  </r>
  <r>
    <d v="2024-11-05T00:00:00"/>
    <x v="2"/>
    <x v="0"/>
    <x v="0"/>
    <n v="26"/>
    <n v="31"/>
    <n v="110"/>
    <n v="60"/>
    <n v="3410"/>
    <n v="1860"/>
    <n v="1550"/>
    <x v="4"/>
    <x v="2"/>
    <x v="2"/>
  </r>
  <r>
    <d v="2024-12-29T00:00:00"/>
    <x v="1"/>
    <x v="5"/>
    <x v="2"/>
    <n v="20"/>
    <n v="28"/>
    <n v="100"/>
    <n v="55"/>
    <n v="2800"/>
    <n v="1540"/>
    <n v="1260"/>
    <x v="3"/>
    <x v="2"/>
    <x v="3"/>
  </r>
  <r>
    <d v="2024-09-27T00:00:00"/>
    <x v="0"/>
    <x v="5"/>
    <x v="2"/>
    <n v="28"/>
    <n v="47"/>
    <n v="100"/>
    <n v="55"/>
    <n v="4700"/>
    <n v="2585"/>
    <n v="2115"/>
    <x v="5"/>
    <x v="1"/>
    <x v="2"/>
  </r>
  <r>
    <d v="2024-02-17T00:00:00"/>
    <x v="0"/>
    <x v="1"/>
    <x v="2"/>
    <n v="33"/>
    <n v="86"/>
    <n v="80"/>
    <n v="45"/>
    <n v="6880"/>
    <n v="3870"/>
    <n v="3010"/>
    <x v="6"/>
    <x v="3"/>
    <x v="1"/>
  </r>
  <r>
    <d v="2024-10-18T00:00:00"/>
    <x v="2"/>
    <x v="4"/>
    <x v="1"/>
    <n v="31"/>
    <n v="95"/>
    <n v="100"/>
    <n v="55"/>
    <n v="9500"/>
    <n v="5225"/>
    <n v="4275"/>
    <x v="9"/>
    <x v="2"/>
    <x v="1"/>
  </r>
  <r>
    <d v="2024-11-30T00:00:00"/>
    <x v="3"/>
    <x v="1"/>
    <x v="2"/>
    <n v="20"/>
    <n v="12"/>
    <n v="80"/>
    <n v="45"/>
    <n v="960"/>
    <n v="540"/>
    <n v="420"/>
    <x v="4"/>
    <x v="2"/>
    <x v="3"/>
  </r>
  <r>
    <d v="2024-01-03T00:00:00"/>
    <x v="2"/>
    <x v="5"/>
    <x v="2"/>
    <n v="21"/>
    <n v="13"/>
    <n v="100"/>
    <n v="55"/>
    <n v="1300"/>
    <n v="715"/>
    <n v="585"/>
    <x v="10"/>
    <x v="3"/>
    <x v="3"/>
  </r>
  <r>
    <d v="2024-11-26T00:00:00"/>
    <x v="1"/>
    <x v="0"/>
    <x v="2"/>
    <n v="19"/>
    <n v="52"/>
    <n v="110"/>
    <n v="60"/>
    <n v="5720"/>
    <n v="3120"/>
    <n v="2600"/>
    <x v="4"/>
    <x v="2"/>
    <x v="3"/>
  </r>
  <r>
    <d v="2024-03-02T00:00:00"/>
    <x v="2"/>
    <x v="4"/>
    <x v="0"/>
    <n v="39"/>
    <n v="110"/>
    <n v="100"/>
    <n v="55"/>
    <n v="11000"/>
    <n v="6050"/>
    <n v="4950"/>
    <x v="8"/>
    <x v="3"/>
    <x v="0"/>
  </r>
  <r>
    <d v="2024-07-25T00:00:00"/>
    <x v="2"/>
    <x v="1"/>
    <x v="2"/>
    <n v="30"/>
    <n v="87"/>
    <n v="80"/>
    <n v="45"/>
    <n v="6960"/>
    <n v="3915"/>
    <n v="3045"/>
    <x v="2"/>
    <x v="1"/>
    <x v="2"/>
  </r>
  <r>
    <d v="2024-11-13T00:00:00"/>
    <x v="2"/>
    <x v="4"/>
    <x v="2"/>
    <n v="20"/>
    <n v="46"/>
    <n v="100"/>
    <n v="55"/>
    <n v="4600"/>
    <n v="2530"/>
    <n v="2070"/>
    <x v="4"/>
    <x v="2"/>
    <x v="3"/>
  </r>
  <r>
    <d v="2024-07-10T00:00:00"/>
    <x v="2"/>
    <x v="0"/>
    <x v="0"/>
    <n v="26"/>
    <n v="35"/>
    <n v="110"/>
    <n v="60"/>
    <n v="3850"/>
    <n v="2100"/>
    <n v="1750"/>
    <x v="2"/>
    <x v="1"/>
    <x v="2"/>
  </r>
  <r>
    <d v="2024-08-02T00:00:00"/>
    <x v="2"/>
    <x v="3"/>
    <x v="0"/>
    <n v="31"/>
    <n v="91"/>
    <n v="90"/>
    <n v="50"/>
    <n v="8190"/>
    <n v="4550"/>
    <n v="3640"/>
    <x v="7"/>
    <x v="1"/>
    <x v="1"/>
  </r>
  <r>
    <d v="2024-01-16T00:00:00"/>
    <x v="0"/>
    <x v="1"/>
    <x v="2"/>
    <n v="27"/>
    <n v="11"/>
    <n v="80"/>
    <n v="45"/>
    <n v="880"/>
    <n v="495"/>
    <n v="385"/>
    <x v="10"/>
    <x v="3"/>
    <x v="2"/>
  </r>
  <r>
    <d v="2024-10-26T00:00:00"/>
    <x v="2"/>
    <x v="0"/>
    <x v="0"/>
    <n v="28"/>
    <n v="79"/>
    <n v="110"/>
    <n v="60"/>
    <n v="8690"/>
    <n v="4740"/>
    <n v="3950"/>
    <x v="9"/>
    <x v="2"/>
    <x v="2"/>
  </r>
  <r>
    <d v="2024-12-11T00:00:00"/>
    <x v="3"/>
    <x v="5"/>
    <x v="2"/>
    <n v="26"/>
    <n v="47"/>
    <n v="100"/>
    <n v="55"/>
    <n v="4700"/>
    <n v="2585"/>
    <n v="2115"/>
    <x v="3"/>
    <x v="2"/>
    <x v="2"/>
  </r>
  <r>
    <d v="2024-08-26T00:00:00"/>
    <x v="1"/>
    <x v="3"/>
    <x v="2"/>
    <n v="30"/>
    <n v="74"/>
    <n v="90"/>
    <n v="50"/>
    <n v="6660"/>
    <n v="3700"/>
    <n v="2960"/>
    <x v="7"/>
    <x v="1"/>
    <x v="2"/>
  </r>
  <r>
    <d v="2024-04-19T00:00:00"/>
    <x v="2"/>
    <x v="1"/>
    <x v="2"/>
    <n v="38"/>
    <n v="181"/>
    <n v="80"/>
    <n v="45"/>
    <n v="14480"/>
    <n v="8145"/>
    <n v="6335"/>
    <x v="0"/>
    <x v="0"/>
    <x v="0"/>
  </r>
  <r>
    <d v="2024-11-21T00:00:00"/>
    <x v="1"/>
    <x v="0"/>
    <x v="0"/>
    <n v="25"/>
    <n v="42"/>
    <n v="110"/>
    <n v="60"/>
    <n v="4620"/>
    <n v="2520"/>
    <n v="2100"/>
    <x v="4"/>
    <x v="2"/>
    <x v="2"/>
  </r>
  <r>
    <d v="2024-09-13T00:00:00"/>
    <x v="0"/>
    <x v="5"/>
    <x v="2"/>
    <n v="30"/>
    <n v="64"/>
    <n v="100"/>
    <n v="55"/>
    <n v="6400"/>
    <n v="3520"/>
    <n v="2880"/>
    <x v="5"/>
    <x v="1"/>
    <x v="2"/>
  </r>
  <r>
    <d v="2024-11-11T00:00:00"/>
    <x v="1"/>
    <x v="1"/>
    <x v="2"/>
    <n v="25"/>
    <n v="55"/>
    <n v="80"/>
    <n v="45"/>
    <n v="4400"/>
    <n v="2475"/>
    <n v="1925"/>
    <x v="4"/>
    <x v="2"/>
    <x v="2"/>
  </r>
  <r>
    <d v="2024-08-19T00:00:00"/>
    <x v="2"/>
    <x v="0"/>
    <x v="0"/>
    <n v="27"/>
    <n v="47"/>
    <n v="110"/>
    <n v="60"/>
    <n v="5170"/>
    <n v="2820"/>
    <n v="2350"/>
    <x v="7"/>
    <x v="1"/>
    <x v="2"/>
  </r>
  <r>
    <d v="2024-09-20T00:00:00"/>
    <x v="2"/>
    <x v="1"/>
    <x v="2"/>
    <n v="29"/>
    <n v="77"/>
    <n v="80"/>
    <n v="45"/>
    <n v="6160"/>
    <n v="3465"/>
    <n v="2695"/>
    <x v="5"/>
    <x v="1"/>
    <x v="2"/>
  </r>
  <r>
    <d v="2024-05-19T00:00:00"/>
    <x v="1"/>
    <x v="5"/>
    <x v="0"/>
    <n v="34"/>
    <n v="158"/>
    <n v="100"/>
    <n v="55"/>
    <n v="15800"/>
    <n v="8690"/>
    <n v="7110"/>
    <x v="1"/>
    <x v="0"/>
    <x v="1"/>
  </r>
  <r>
    <d v="2024-12-16T00:00:00"/>
    <x v="2"/>
    <x v="1"/>
    <x v="2"/>
    <n v="22"/>
    <n v="20"/>
    <n v="80"/>
    <n v="45"/>
    <n v="1600"/>
    <n v="900"/>
    <n v="700"/>
    <x v="3"/>
    <x v="2"/>
    <x v="3"/>
  </r>
  <r>
    <d v="2024-10-30T00:00:00"/>
    <x v="0"/>
    <x v="5"/>
    <x v="2"/>
    <n v="27"/>
    <n v="53"/>
    <n v="100"/>
    <n v="55"/>
    <n v="5300"/>
    <n v="2915"/>
    <n v="2385"/>
    <x v="9"/>
    <x v="2"/>
    <x v="2"/>
  </r>
  <r>
    <d v="2024-12-21T00:00:00"/>
    <x v="3"/>
    <x v="1"/>
    <x v="0"/>
    <n v="20"/>
    <n v="44"/>
    <n v="80"/>
    <n v="45"/>
    <n v="3520"/>
    <n v="1980"/>
    <n v="1540"/>
    <x v="3"/>
    <x v="2"/>
    <x v="3"/>
  </r>
  <r>
    <d v="2024-07-26T00:00:00"/>
    <x v="2"/>
    <x v="5"/>
    <x v="2"/>
    <n v="28"/>
    <n v="97"/>
    <n v="100"/>
    <n v="55"/>
    <n v="9700"/>
    <n v="5335"/>
    <n v="4365"/>
    <x v="2"/>
    <x v="1"/>
    <x v="2"/>
  </r>
  <r>
    <d v="2024-06-19T00:00:00"/>
    <x v="0"/>
    <x v="0"/>
    <x v="0"/>
    <n v="34"/>
    <n v="97"/>
    <n v="110"/>
    <n v="60"/>
    <n v="10670"/>
    <n v="5820"/>
    <n v="4850"/>
    <x v="11"/>
    <x v="0"/>
    <x v="1"/>
  </r>
  <r>
    <d v="2024-12-08T00:00:00"/>
    <x v="3"/>
    <x v="2"/>
    <x v="2"/>
    <n v="22"/>
    <n v="14"/>
    <n v="130"/>
    <n v="70"/>
    <n v="1820"/>
    <n v="980"/>
    <n v="840"/>
    <x v="3"/>
    <x v="2"/>
    <x v="3"/>
  </r>
  <r>
    <d v="2024-02-20T00:00:00"/>
    <x v="2"/>
    <x v="5"/>
    <x v="1"/>
    <n v="29"/>
    <n v="71"/>
    <n v="100"/>
    <n v="55"/>
    <n v="7100"/>
    <n v="3905"/>
    <n v="3195"/>
    <x v="6"/>
    <x v="3"/>
    <x v="2"/>
  </r>
  <r>
    <d v="2024-06-14T00:00:00"/>
    <x v="0"/>
    <x v="3"/>
    <x v="2"/>
    <n v="38"/>
    <n v="195"/>
    <n v="90"/>
    <n v="50"/>
    <n v="17550"/>
    <n v="9750"/>
    <n v="7800"/>
    <x v="11"/>
    <x v="0"/>
    <x v="0"/>
  </r>
  <r>
    <d v="2024-06-30T00:00:00"/>
    <x v="3"/>
    <x v="5"/>
    <x v="2"/>
    <n v="38"/>
    <n v="182"/>
    <n v="100"/>
    <n v="55"/>
    <n v="18200"/>
    <n v="10010"/>
    <n v="8190"/>
    <x v="11"/>
    <x v="0"/>
    <x v="0"/>
  </r>
  <r>
    <d v="2024-02-28T00:00:00"/>
    <x v="1"/>
    <x v="0"/>
    <x v="2"/>
    <n v="32"/>
    <n v="94"/>
    <n v="110"/>
    <n v="60"/>
    <n v="10340"/>
    <n v="5640"/>
    <n v="4700"/>
    <x v="6"/>
    <x v="3"/>
    <x v="1"/>
  </r>
  <r>
    <d v="2024-09-16T00:00:00"/>
    <x v="0"/>
    <x v="5"/>
    <x v="2"/>
    <n v="26"/>
    <n v="76"/>
    <n v="100"/>
    <n v="55"/>
    <n v="7600"/>
    <n v="4180"/>
    <n v="3420"/>
    <x v="5"/>
    <x v="1"/>
    <x v="2"/>
  </r>
  <r>
    <d v="2024-04-02T00:00:00"/>
    <x v="0"/>
    <x v="2"/>
    <x v="0"/>
    <n v="39"/>
    <n v="168"/>
    <n v="130"/>
    <n v="70"/>
    <n v="21840"/>
    <n v="11760"/>
    <n v="10080"/>
    <x v="0"/>
    <x v="0"/>
    <x v="0"/>
  </r>
  <r>
    <d v="2024-04-27T00:00:00"/>
    <x v="3"/>
    <x v="0"/>
    <x v="0"/>
    <n v="33"/>
    <n v="139"/>
    <n v="110"/>
    <n v="60"/>
    <n v="15290"/>
    <n v="8340"/>
    <n v="6950"/>
    <x v="0"/>
    <x v="0"/>
    <x v="1"/>
  </r>
  <r>
    <d v="2024-10-19T00:00:00"/>
    <x v="1"/>
    <x v="4"/>
    <x v="2"/>
    <n v="33"/>
    <n v="104"/>
    <n v="100"/>
    <n v="55"/>
    <n v="10400"/>
    <n v="5720"/>
    <n v="4680"/>
    <x v="9"/>
    <x v="2"/>
    <x v="1"/>
  </r>
  <r>
    <d v="2024-12-29T00:00:00"/>
    <x v="0"/>
    <x v="5"/>
    <x v="2"/>
    <n v="27"/>
    <n v="49"/>
    <n v="100"/>
    <n v="55"/>
    <n v="4900"/>
    <n v="2695"/>
    <n v="2205"/>
    <x v="3"/>
    <x v="2"/>
    <x v="2"/>
  </r>
  <r>
    <d v="2024-07-27T00:00:00"/>
    <x v="3"/>
    <x v="3"/>
    <x v="1"/>
    <n v="32"/>
    <n v="91"/>
    <n v="90"/>
    <n v="50"/>
    <n v="8190"/>
    <n v="4550"/>
    <n v="3640"/>
    <x v="2"/>
    <x v="1"/>
    <x v="1"/>
  </r>
  <r>
    <d v="2024-02-14T00:00:00"/>
    <x v="1"/>
    <x v="2"/>
    <x v="2"/>
    <n v="28"/>
    <n v="102"/>
    <n v="130"/>
    <n v="70"/>
    <n v="13260"/>
    <n v="7140"/>
    <n v="6120"/>
    <x v="6"/>
    <x v="3"/>
    <x v="2"/>
  </r>
  <r>
    <d v="2024-06-27T00:00:00"/>
    <x v="3"/>
    <x v="1"/>
    <x v="0"/>
    <n v="40"/>
    <n v="168"/>
    <n v="80"/>
    <n v="45"/>
    <n v="13440"/>
    <n v="7560"/>
    <n v="5880"/>
    <x v="11"/>
    <x v="0"/>
    <x v="0"/>
  </r>
  <r>
    <d v="2024-09-20T00:00:00"/>
    <x v="1"/>
    <x v="2"/>
    <x v="2"/>
    <n v="32"/>
    <n v="82"/>
    <n v="130"/>
    <n v="70"/>
    <n v="10660"/>
    <n v="5740"/>
    <n v="4920"/>
    <x v="5"/>
    <x v="1"/>
    <x v="1"/>
  </r>
  <r>
    <d v="2024-09-24T00:00:00"/>
    <x v="3"/>
    <x v="4"/>
    <x v="1"/>
    <n v="27"/>
    <n v="48"/>
    <n v="100"/>
    <n v="55"/>
    <n v="4800"/>
    <n v="2640"/>
    <n v="2160"/>
    <x v="5"/>
    <x v="1"/>
    <x v="2"/>
  </r>
  <r>
    <d v="2024-03-11T00:00:00"/>
    <x v="0"/>
    <x v="1"/>
    <x v="2"/>
    <n v="39"/>
    <n v="151"/>
    <n v="80"/>
    <n v="45"/>
    <n v="12080"/>
    <n v="6795"/>
    <n v="5285"/>
    <x v="8"/>
    <x v="3"/>
    <x v="0"/>
  </r>
  <r>
    <d v="2024-02-21T00:00:00"/>
    <x v="2"/>
    <x v="5"/>
    <x v="1"/>
    <n v="33"/>
    <n v="69"/>
    <n v="100"/>
    <n v="55"/>
    <n v="6900"/>
    <n v="3795"/>
    <n v="3105"/>
    <x v="6"/>
    <x v="3"/>
    <x v="1"/>
  </r>
  <r>
    <d v="2024-10-22T00:00:00"/>
    <x v="0"/>
    <x v="1"/>
    <x v="2"/>
    <n v="33"/>
    <n v="93"/>
    <n v="80"/>
    <n v="45"/>
    <n v="7440"/>
    <n v="4185"/>
    <n v="3255"/>
    <x v="9"/>
    <x v="2"/>
    <x v="1"/>
  </r>
  <r>
    <d v="2024-04-02T00:00:00"/>
    <x v="0"/>
    <x v="1"/>
    <x v="2"/>
    <n v="35"/>
    <n v="98"/>
    <n v="80"/>
    <n v="45"/>
    <n v="7840"/>
    <n v="4410"/>
    <n v="3430"/>
    <x v="0"/>
    <x v="0"/>
    <x v="1"/>
  </r>
  <r>
    <d v="2024-05-04T00:00:00"/>
    <x v="3"/>
    <x v="5"/>
    <x v="2"/>
    <n v="33"/>
    <n v="53"/>
    <n v="100"/>
    <n v="55"/>
    <n v="5300"/>
    <n v="2915"/>
    <n v="2385"/>
    <x v="1"/>
    <x v="0"/>
    <x v="1"/>
  </r>
  <r>
    <d v="2024-06-14T00:00:00"/>
    <x v="0"/>
    <x v="4"/>
    <x v="2"/>
    <n v="38"/>
    <n v="179"/>
    <n v="100"/>
    <n v="55"/>
    <n v="17900"/>
    <n v="9845"/>
    <n v="8055"/>
    <x v="11"/>
    <x v="0"/>
    <x v="0"/>
  </r>
  <r>
    <d v="2024-01-11T00:00:00"/>
    <x v="3"/>
    <x v="3"/>
    <x v="2"/>
    <n v="27"/>
    <n v="47"/>
    <n v="90"/>
    <n v="50"/>
    <n v="4230"/>
    <n v="2350"/>
    <n v="1880"/>
    <x v="10"/>
    <x v="3"/>
    <x v="2"/>
  </r>
  <r>
    <d v="2024-05-07T00:00:00"/>
    <x v="1"/>
    <x v="1"/>
    <x v="2"/>
    <n v="32"/>
    <n v="136"/>
    <n v="80"/>
    <n v="45"/>
    <n v="10880"/>
    <n v="6120"/>
    <n v="4760"/>
    <x v="1"/>
    <x v="0"/>
    <x v="1"/>
  </r>
  <r>
    <d v="2024-03-05T00:00:00"/>
    <x v="0"/>
    <x v="5"/>
    <x v="0"/>
    <n v="36"/>
    <n v="155"/>
    <n v="100"/>
    <n v="55"/>
    <n v="15500"/>
    <n v="8525"/>
    <n v="6975"/>
    <x v="8"/>
    <x v="3"/>
    <x v="0"/>
  </r>
  <r>
    <d v="2024-07-02T00:00:00"/>
    <x v="0"/>
    <x v="5"/>
    <x v="2"/>
    <n v="28"/>
    <n v="47"/>
    <n v="100"/>
    <n v="55"/>
    <n v="4700"/>
    <n v="2585"/>
    <n v="2115"/>
    <x v="2"/>
    <x v="1"/>
    <x v="2"/>
  </r>
  <r>
    <d v="2024-04-15T00:00:00"/>
    <x v="2"/>
    <x v="5"/>
    <x v="0"/>
    <n v="40"/>
    <n v="130"/>
    <n v="100"/>
    <n v="55"/>
    <n v="13000"/>
    <n v="7150"/>
    <n v="5850"/>
    <x v="0"/>
    <x v="0"/>
    <x v="0"/>
  </r>
  <r>
    <d v="2024-02-09T00:00:00"/>
    <x v="0"/>
    <x v="5"/>
    <x v="2"/>
    <n v="34"/>
    <n v="109"/>
    <n v="100"/>
    <n v="55"/>
    <n v="10900"/>
    <n v="5995"/>
    <n v="4905"/>
    <x v="6"/>
    <x v="3"/>
    <x v="1"/>
  </r>
  <r>
    <d v="2024-11-27T00:00:00"/>
    <x v="3"/>
    <x v="5"/>
    <x v="2"/>
    <n v="19"/>
    <n v="44"/>
    <n v="100"/>
    <n v="55"/>
    <n v="4400"/>
    <n v="2420"/>
    <n v="1980"/>
    <x v="4"/>
    <x v="2"/>
    <x v="3"/>
  </r>
  <r>
    <d v="2024-10-21T00:00:00"/>
    <x v="1"/>
    <x v="5"/>
    <x v="2"/>
    <n v="26"/>
    <n v="42"/>
    <n v="100"/>
    <n v="55"/>
    <n v="4200"/>
    <n v="2310"/>
    <n v="1890"/>
    <x v="9"/>
    <x v="2"/>
    <x v="2"/>
  </r>
  <r>
    <d v="2024-08-16T00:00:00"/>
    <x v="1"/>
    <x v="3"/>
    <x v="0"/>
    <n v="31"/>
    <n v="43"/>
    <n v="90"/>
    <n v="50"/>
    <n v="3870"/>
    <n v="2150"/>
    <n v="1720"/>
    <x v="7"/>
    <x v="1"/>
    <x v="1"/>
  </r>
  <r>
    <d v="2024-05-11T00:00:00"/>
    <x v="3"/>
    <x v="2"/>
    <x v="0"/>
    <n v="36"/>
    <n v="169"/>
    <n v="130"/>
    <n v="70"/>
    <n v="21970"/>
    <n v="11830"/>
    <n v="10140"/>
    <x v="1"/>
    <x v="0"/>
    <x v="0"/>
  </r>
  <r>
    <d v="2024-08-09T00:00:00"/>
    <x v="2"/>
    <x v="4"/>
    <x v="2"/>
    <n v="31"/>
    <n v="109"/>
    <n v="100"/>
    <n v="55"/>
    <n v="10900"/>
    <n v="5995"/>
    <n v="4905"/>
    <x v="7"/>
    <x v="1"/>
    <x v="1"/>
  </r>
  <r>
    <d v="2024-04-05T00:00:00"/>
    <x v="3"/>
    <x v="2"/>
    <x v="0"/>
    <n v="34"/>
    <n v="55"/>
    <n v="130"/>
    <n v="70"/>
    <n v="7150"/>
    <n v="3850"/>
    <n v="3300"/>
    <x v="0"/>
    <x v="0"/>
    <x v="1"/>
  </r>
  <r>
    <d v="2024-09-12T00:00:00"/>
    <x v="2"/>
    <x v="1"/>
    <x v="0"/>
    <n v="29"/>
    <n v="98"/>
    <n v="80"/>
    <n v="45"/>
    <n v="7840"/>
    <n v="4410"/>
    <n v="3430"/>
    <x v="5"/>
    <x v="1"/>
    <x v="2"/>
  </r>
  <r>
    <d v="2024-12-10T00:00:00"/>
    <x v="0"/>
    <x v="1"/>
    <x v="0"/>
    <n v="24"/>
    <n v="29"/>
    <n v="80"/>
    <n v="45"/>
    <n v="2320"/>
    <n v="1305"/>
    <n v="1015"/>
    <x v="3"/>
    <x v="2"/>
    <x v="3"/>
  </r>
  <r>
    <d v="2024-01-13T00:00:00"/>
    <x v="1"/>
    <x v="3"/>
    <x v="2"/>
    <n v="18"/>
    <n v="22"/>
    <n v="90"/>
    <n v="50"/>
    <n v="1980"/>
    <n v="1100"/>
    <n v="880"/>
    <x v="10"/>
    <x v="3"/>
    <x v="3"/>
  </r>
  <r>
    <d v="2024-09-29T00:00:00"/>
    <x v="0"/>
    <x v="5"/>
    <x v="1"/>
    <n v="33"/>
    <n v="52"/>
    <n v="100"/>
    <n v="55"/>
    <n v="5200"/>
    <n v="2860"/>
    <n v="2340"/>
    <x v="5"/>
    <x v="1"/>
    <x v="1"/>
  </r>
  <r>
    <d v="2024-09-20T00:00:00"/>
    <x v="1"/>
    <x v="2"/>
    <x v="0"/>
    <n v="34"/>
    <n v="57"/>
    <n v="130"/>
    <n v="70"/>
    <n v="7410"/>
    <n v="3990"/>
    <n v="3420"/>
    <x v="5"/>
    <x v="1"/>
    <x v="1"/>
  </r>
  <r>
    <d v="2024-07-07T00:00:00"/>
    <x v="2"/>
    <x v="1"/>
    <x v="2"/>
    <n v="32"/>
    <n v="46"/>
    <n v="80"/>
    <n v="45"/>
    <n v="3680"/>
    <n v="2070"/>
    <n v="1610"/>
    <x v="2"/>
    <x v="1"/>
    <x v="1"/>
  </r>
  <r>
    <d v="2024-01-13T00:00:00"/>
    <x v="2"/>
    <x v="0"/>
    <x v="0"/>
    <n v="22"/>
    <n v="22"/>
    <n v="110"/>
    <n v="60"/>
    <n v="2420"/>
    <n v="1320"/>
    <n v="1100"/>
    <x v="10"/>
    <x v="3"/>
    <x v="3"/>
  </r>
  <r>
    <d v="2024-04-03T00:00:00"/>
    <x v="0"/>
    <x v="1"/>
    <x v="0"/>
    <n v="40"/>
    <n v="165"/>
    <n v="80"/>
    <n v="45"/>
    <n v="13200"/>
    <n v="7425"/>
    <n v="5775"/>
    <x v="0"/>
    <x v="0"/>
    <x v="0"/>
  </r>
  <r>
    <d v="2024-06-28T00:00:00"/>
    <x v="2"/>
    <x v="3"/>
    <x v="2"/>
    <n v="35"/>
    <n v="106"/>
    <n v="90"/>
    <n v="50"/>
    <n v="9540"/>
    <n v="5300"/>
    <n v="4240"/>
    <x v="11"/>
    <x v="0"/>
    <x v="1"/>
  </r>
  <r>
    <d v="2024-05-16T00:00:00"/>
    <x v="0"/>
    <x v="4"/>
    <x v="2"/>
    <n v="40"/>
    <n v="147"/>
    <n v="100"/>
    <n v="55"/>
    <n v="14700"/>
    <n v="8085"/>
    <n v="6615"/>
    <x v="1"/>
    <x v="0"/>
    <x v="0"/>
  </r>
  <r>
    <d v="2024-10-14T00:00:00"/>
    <x v="1"/>
    <x v="1"/>
    <x v="2"/>
    <n v="33"/>
    <n v="86"/>
    <n v="80"/>
    <n v="45"/>
    <n v="6880"/>
    <n v="3870"/>
    <n v="3010"/>
    <x v="9"/>
    <x v="2"/>
    <x v="1"/>
  </r>
  <r>
    <d v="2024-03-12T00:00:00"/>
    <x v="1"/>
    <x v="2"/>
    <x v="0"/>
    <n v="34"/>
    <n v="91"/>
    <n v="130"/>
    <n v="70"/>
    <n v="11830"/>
    <n v="6370"/>
    <n v="5460"/>
    <x v="8"/>
    <x v="3"/>
    <x v="1"/>
  </r>
  <r>
    <d v="2024-05-18T00:00:00"/>
    <x v="1"/>
    <x v="3"/>
    <x v="2"/>
    <n v="39"/>
    <n v="134"/>
    <n v="90"/>
    <n v="50"/>
    <n v="12060"/>
    <n v="6700"/>
    <n v="5360"/>
    <x v="1"/>
    <x v="0"/>
    <x v="0"/>
  </r>
  <r>
    <d v="2024-02-25T00:00:00"/>
    <x v="0"/>
    <x v="5"/>
    <x v="2"/>
    <n v="28"/>
    <n v="93"/>
    <n v="100"/>
    <n v="55"/>
    <n v="9300"/>
    <n v="5115"/>
    <n v="4185"/>
    <x v="6"/>
    <x v="3"/>
    <x v="2"/>
  </r>
  <r>
    <d v="2024-11-05T00:00:00"/>
    <x v="0"/>
    <x v="1"/>
    <x v="2"/>
    <n v="18"/>
    <n v="33"/>
    <n v="80"/>
    <n v="45"/>
    <n v="2640"/>
    <n v="1485"/>
    <n v="1155"/>
    <x v="4"/>
    <x v="2"/>
    <x v="3"/>
  </r>
  <r>
    <d v="2024-05-28T00:00:00"/>
    <x v="1"/>
    <x v="2"/>
    <x v="1"/>
    <n v="37"/>
    <n v="66"/>
    <n v="130"/>
    <n v="70"/>
    <n v="8580"/>
    <n v="4620"/>
    <n v="3960"/>
    <x v="1"/>
    <x v="0"/>
    <x v="0"/>
  </r>
  <r>
    <d v="2024-05-26T00:00:00"/>
    <x v="0"/>
    <x v="1"/>
    <x v="0"/>
    <n v="34"/>
    <n v="86"/>
    <n v="80"/>
    <n v="45"/>
    <n v="6880"/>
    <n v="3870"/>
    <n v="3010"/>
    <x v="1"/>
    <x v="0"/>
    <x v="1"/>
  </r>
  <r>
    <d v="2024-08-31T00:00:00"/>
    <x v="0"/>
    <x v="0"/>
    <x v="2"/>
    <n v="29"/>
    <n v="87"/>
    <n v="110"/>
    <n v="60"/>
    <n v="9570"/>
    <n v="5220"/>
    <n v="4350"/>
    <x v="7"/>
    <x v="1"/>
    <x v="2"/>
  </r>
  <r>
    <d v="2024-02-27T00:00:00"/>
    <x v="1"/>
    <x v="0"/>
    <x v="0"/>
    <n v="28"/>
    <n v="87"/>
    <n v="110"/>
    <n v="60"/>
    <n v="9570"/>
    <n v="5220"/>
    <n v="4350"/>
    <x v="6"/>
    <x v="3"/>
    <x v="2"/>
  </r>
  <r>
    <d v="2024-08-25T00:00:00"/>
    <x v="2"/>
    <x v="1"/>
    <x v="2"/>
    <n v="33"/>
    <n v="77"/>
    <n v="80"/>
    <n v="45"/>
    <n v="6160"/>
    <n v="3465"/>
    <n v="2695"/>
    <x v="7"/>
    <x v="1"/>
    <x v="1"/>
  </r>
  <r>
    <d v="2024-04-06T00:00:00"/>
    <x v="0"/>
    <x v="2"/>
    <x v="2"/>
    <n v="37"/>
    <n v="181"/>
    <n v="130"/>
    <n v="70"/>
    <n v="23530"/>
    <n v="12670"/>
    <n v="10860"/>
    <x v="0"/>
    <x v="0"/>
    <x v="0"/>
  </r>
  <r>
    <d v="2024-05-16T00:00:00"/>
    <x v="1"/>
    <x v="1"/>
    <x v="2"/>
    <n v="40"/>
    <n v="168"/>
    <n v="80"/>
    <n v="45"/>
    <n v="13440"/>
    <n v="7560"/>
    <n v="5880"/>
    <x v="1"/>
    <x v="0"/>
    <x v="0"/>
  </r>
  <r>
    <d v="2024-10-16T00:00:00"/>
    <x v="0"/>
    <x v="1"/>
    <x v="2"/>
    <n v="29"/>
    <n v="102"/>
    <n v="80"/>
    <n v="45"/>
    <n v="8160"/>
    <n v="4590"/>
    <n v="3570"/>
    <x v="9"/>
    <x v="2"/>
    <x v="2"/>
  </r>
  <r>
    <d v="2024-12-25T00:00:00"/>
    <x v="3"/>
    <x v="3"/>
    <x v="0"/>
    <n v="18"/>
    <n v="36"/>
    <n v="90"/>
    <n v="50"/>
    <n v="3240"/>
    <n v="1800"/>
    <n v="1440"/>
    <x v="3"/>
    <x v="2"/>
    <x v="3"/>
  </r>
  <r>
    <d v="2024-09-27T00:00:00"/>
    <x v="3"/>
    <x v="5"/>
    <x v="2"/>
    <n v="27"/>
    <n v="76"/>
    <n v="100"/>
    <n v="55"/>
    <n v="7600"/>
    <n v="4180"/>
    <n v="3420"/>
    <x v="5"/>
    <x v="1"/>
    <x v="2"/>
  </r>
  <r>
    <d v="2024-12-16T00:00:00"/>
    <x v="1"/>
    <x v="5"/>
    <x v="2"/>
    <n v="24"/>
    <n v="57"/>
    <n v="100"/>
    <n v="55"/>
    <n v="5700"/>
    <n v="3135"/>
    <n v="2565"/>
    <x v="3"/>
    <x v="2"/>
    <x v="3"/>
  </r>
  <r>
    <d v="2024-05-08T00:00:00"/>
    <x v="1"/>
    <x v="5"/>
    <x v="1"/>
    <n v="40"/>
    <n v="198"/>
    <n v="100"/>
    <n v="55"/>
    <n v="19800"/>
    <n v="10890"/>
    <n v="8910"/>
    <x v="1"/>
    <x v="0"/>
    <x v="0"/>
  </r>
  <r>
    <d v="2024-12-05T00:00:00"/>
    <x v="0"/>
    <x v="4"/>
    <x v="0"/>
    <n v="21"/>
    <n v="42"/>
    <n v="100"/>
    <n v="55"/>
    <n v="4200"/>
    <n v="2310"/>
    <n v="1890"/>
    <x v="3"/>
    <x v="2"/>
    <x v="3"/>
  </r>
  <r>
    <d v="2024-10-20T00:00:00"/>
    <x v="3"/>
    <x v="0"/>
    <x v="2"/>
    <n v="34"/>
    <n v="108"/>
    <n v="110"/>
    <n v="60"/>
    <n v="11880"/>
    <n v="6480"/>
    <n v="5400"/>
    <x v="9"/>
    <x v="2"/>
    <x v="1"/>
  </r>
  <r>
    <d v="2024-10-03T00:00:00"/>
    <x v="2"/>
    <x v="3"/>
    <x v="2"/>
    <n v="32"/>
    <n v="76"/>
    <n v="90"/>
    <n v="50"/>
    <n v="6840"/>
    <n v="3800"/>
    <n v="3040"/>
    <x v="9"/>
    <x v="2"/>
    <x v="1"/>
  </r>
  <r>
    <d v="2024-03-31T00:00:00"/>
    <x v="3"/>
    <x v="2"/>
    <x v="0"/>
    <n v="33"/>
    <n v="89"/>
    <n v="130"/>
    <n v="70"/>
    <n v="11570"/>
    <n v="6230"/>
    <n v="5340"/>
    <x v="8"/>
    <x v="3"/>
    <x v="1"/>
  </r>
  <r>
    <d v="2024-05-17T00:00:00"/>
    <x v="0"/>
    <x v="5"/>
    <x v="0"/>
    <n v="36"/>
    <n v="110"/>
    <n v="100"/>
    <n v="55"/>
    <n v="11000"/>
    <n v="6050"/>
    <n v="4950"/>
    <x v="1"/>
    <x v="0"/>
    <x v="0"/>
  </r>
  <r>
    <d v="2024-08-24T00:00:00"/>
    <x v="2"/>
    <x v="1"/>
    <x v="2"/>
    <n v="34"/>
    <n v="98"/>
    <n v="80"/>
    <n v="45"/>
    <n v="7840"/>
    <n v="4410"/>
    <n v="3430"/>
    <x v="7"/>
    <x v="1"/>
    <x v="1"/>
  </r>
  <r>
    <d v="2024-02-28T00:00:00"/>
    <x v="1"/>
    <x v="3"/>
    <x v="2"/>
    <n v="32"/>
    <n v="59"/>
    <n v="90"/>
    <n v="50"/>
    <n v="5310"/>
    <n v="2950"/>
    <n v="2360"/>
    <x v="6"/>
    <x v="3"/>
    <x v="1"/>
  </r>
  <r>
    <d v="2024-03-30T00:00:00"/>
    <x v="1"/>
    <x v="0"/>
    <x v="0"/>
    <n v="37"/>
    <n v="174"/>
    <n v="110"/>
    <n v="60"/>
    <n v="19140"/>
    <n v="10440"/>
    <n v="8700"/>
    <x v="8"/>
    <x v="3"/>
    <x v="0"/>
  </r>
  <r>
    <d v="2024-08-07T00:00:00"/>
    <x v="0"/>
    <x v="2"/>
    <x v="1"/>
    <n v="27"/>
    <n v="85"/>
    <n v="130"/>
    <n v="70"/>
    <n v="11050"/>
    <n v="5950"/>
    <n v="5100"/>
    <x v="7"/>
    <x v="1"/>
    <x v="2"/>
  </r>
  <r>
    <d v="2024-09-03T00:00:00"/>
    <x v="0"/>
    <x v="1"/>
    <x v="0"/>
    <n v="33"/>
    <n v="51"/>
    <n v="80"/>
    <n v="45"/>
    <n v="4080"/>
    <n v="2295"/>
    <n v="1785"/>
    <x v="5"/>
    <x v="1"/>
    <x v="1"/>
  </r>
  <r>
    <d v="2024-04-10T00:00:00"/>
    <x v="0"/>
    <x v="3"/>
    <x v="0"/>
    <n v="32"/>
    <n v="198"/>
    <n v="90"/>
    <n v="50"/>
    <n v="17820"/>
    <n v="9900"/>
    <n v="7920"/>
    <x v="0"/>
    <x v="0"/>
    <x v="1"/>
  </r>
  <r>
    <d v="2024-01-22T00:00:00"/>
    <x v="2"/>
    <x v="5"/>
    <x v="2"/>
    <n v="18"/>
    <n v="56"/>
    <n v="100"/>
    <n v="55"/>
    <n v="5600"/>
    <n v="3080"/>
    <n v="2520"/>
    <x v="10"/>
    <x v="3"/>
    <x v="3"/>
  </r>
  <r>
    <d v="2024-01-17T00:00:00"/>
    <x v="0"/>
    <x v="3"/>
    <x v="0"/>
    <n v="23"/>
    <n v="57"/>
    <n v="90"/>
    <n v="50"/>
    <n v="5130"/>
    <n v="2850"/>
    <n v="2280"/>
    <x v="10"/>
    <x v="3"/>
    <x v="3"/>
  </r>
  <r>
    <d v="2024-06-11T00:00:00"/>
    <x v="2"/>
    <x v="1"/>
    <x v="0"/>
    <n v="32"/>
    <n v="103"/>
    <n v="80"/>
    <n v="45"/>
    <n v="8240"/>
    <n v="4635"/>
    <n v="3605"/>
    <x v="11"/>
    <x v="0"/>
    <x v="1"/>
  </r>
  <r>
    <d v="2024-09-01T00:00:00"/>
    <x v="0"/>
    <x v="1"/>
    <x v="0"/>
    <n v="26"/>
    <n v="87"/>
    <n v="80"/>
    <n v="45"/>
    <n v="6960"/>
    <n v="3915"/>
    <n v="3045"/>
    <x v="5"/>
    <x v="1"/>
    <x v="2"/>
  </r>
  <r>
    <d v="2024-08-04T00:00:00"/>
    <x v="3"/>
    <x v="3"/>
    <x v="2"/>
    <n v="31"/>
    <n v="35"/>
    <n v="90"/>
    <n v="50"/>
    <n v="3150"/>
    <n v="1750"/>
    <n v="1400"/>
    <x v="7"/>
    <x v="1"/>
    <x v="1"/>
  </r>
  <r>
    <d v="2024-02-28T00:00:00"/>
    <x v="3"/>
    <x v="0"/>
    <x v="0"/>
    <n v="32"/>
    <n v="43"/>
    <n v="110"/>
    <n v="60"/>
    <n v="4730"/>
    <n v="2580"/>
    <n v="2150"/>
    <x v="6"/>
    <x v="3"/>
    <x v="1"/>
  </r>
  <r>
    <d v="2024-02-13T00:00:00"/>
    <x v="1"/>
    <x v="1"/>
    <x v="1"/>
    <n v="26"/>
    <n v="64"/>
    <n v="80"/>
    <n v="45"/>
    <n v="5120"/>
    <n v="2880"/>
    <n v="2240"/>
    <x v="6"/>
    <x v="3"/>
    <x v="2"/>
  </r>
  <r>
    <d v="2024-04-09T00:00:00"/>
    <x v="3"/>
    <x v="0"/>
    <x v="2"/>
    <n v="32"/>
    <n v="110"/>
    <n v="110"/>
    <n v="60"/>
    <n v="12100"/>
    <n v="6600"/>
    <n v="5500"/>
    <x v="0"/>
    <x v="0"/>
    <x v="1"/>
  </r>
  <r>
    <d v="2024-11-22T00:00:00"/>
    <x v="0"/>
    <x v="5"/>
    <x v="2"/>
    <n v="23"/>
    <n v="22"/>
    <n v="100"/>
    <n v="55"/>
    <n v="2200"/>
    <n v="1210"/>
    <n v="990"/>
    <x v="4"/>
    <x v="2"/>
    <x v="3"/>
  </r>
  <r>
    <d v="2024-11-09T00:00:00"/>
    <x v="0"/>
    <x v="3"/>
    <x v="2"/>
    <n v="25"/>
    <n v="13"/>
    <n v="90"/>
    <n v="50"/>
    <n v="1170"/>
    <n v="650"/>
    <n v="520"/>
    <x v="4"/>
    <x v="2"/>
    <x v="2"/>
  </r>
  <r>
    <d v="2024-07-05T00:00:00"/>
    <x v="3"/>
    <x v="1"/>
    <x v="2"/>
    <n v="27"/>
    <n v="57"/>
    <n v="80"/>
    <n v="45"/>
    <n v="4560"/>
    <n v="2565"/>
    <n v="1995"/>
    <x v="2"/>
    <x v="1"/>
    <x v="2"/>
  </r>
  <r>
    <d v="2024-10-13T00:00:00"/>
    <x v="0"/>
    <x v="1"/>
    <x v="1"/>
    <n v="34"/>
    <n v="60"/>
    <n v="80"/>
    <n v="45"/>
    <n v="4800"/>
    <n v="2700"/>
    <n v="2100"/>
    <x v="9"/>
    <x v="2"/>
    <x v="1"/>
  </r>
  <r>
    <d v="2024-02-14T00:00:00"/>
    <x v="0"/>
    <x v="4"/>
    <x v="2"/>
    <n v="28"/>
    <n v="86"/>
    <n v="100"/>
    <n v="55"/>
    <n v="8600"/>
    <n v="4730"/>
    <n v="3870"/>
    <x v="6"/>
    <x v="3"/>
    <x v="2"/>
  </r>
  <r>
    <d v="2024-10-12T00:00:00"/>
    <x v="2"/>
    <x v="0"/>
    <x v="0"/>
    <n v="27"/>
    <n v="68"/>
    <n v="110"/>
    <n v="60"/>
    <n v="7480"/>
    <n v="4080"/>
    <n v="3400"/>
    <x v="9"/>
    <x v="2"/>
    <x v="2"/>
  </r>
  <r>
    <d v="2024-06-19T00:00:00"/>
    <x v="1"/>
    <x v="4"/>
    <x v="2"/>
    <n v="35"/>
    <n v="171"/>
    <n v="100"/>
    <n v="55"/>
    <n v="17100"/>
    <n v="9405"/>
    <n v="7695"/>
    <x v="11"/>
    <x v="0"/>
    <x v="1"/>
  </r>
  <r>
    <d v="2024-04-02T00:00:00"/>
    <x v="0"/>
    <x v="2"/>
    <x v="0"/>
    <n v="40"/>
    <n v="171"/>
    <n v="130"/>
    <n v="70"/>
    <n v="22230"/>
    <n v="11970"/>
    <n v="10260"/>
    <x v="0"/>
    <x v="0"/>
    <x v="0"/>
  </r>
  <r>
    <d v="2024-08-16T00:00:00"/>
    <x v="0"/>
    <x v="2"/>
    <x v="1"/>
    <n v="28"/>
    <n v="92"/>
    <n v="130"/>
    <n v="70"/>
    <n v="11960"/>
    <n v="6440"/>
    <n v="5520"/>
    <x v="7"/>
    <x v="1"/>
    <x v="2"/>
  </r>
  <r>
    <d v="2024-04-15T00:00:00"/>
    <x v="3"/>
    <x v="1"/>
    <x v="1"/>
    <n v="40"/>
    <n v="130"/>
    <n v="80"/>
    <n v="45"/>
    <n v="10400"/>
    <n v="5850"/>
    <n v="4550"/>
    <x v="0"/>
    <x v="0"/>
    <x v="0"/>
  </r>
  <r>
    <d v="2024-08-01T00:00:00"/>
    <x v="2"/>
    <x v="4"/>
    <x v="2"/>
    <n v="32"/>
    <n v="51"/>
    <n v="100"/>
    <n v="55"/>
    <n v="5100"/>
    <n v="2805"/>
    <n v="2295"/>
    <x v="7"/>
    <x v="1"/>
    <x v="1"/>
  </r>
  <r>
    <d v="2024-09-23T00:00:00"/>
    <x v="1"/>
    <x v="5"/>
    <x v="1"/>
    <n v="32"/>
    <n v="105"/>
    <n v="100"/>
    <n v="55"/>
    <n v="10500"/>
    <n v="5775"/>
    <n v="4725"/>
    <x v="5"/>
    <x v="1"/>
    <x v="1"/>
  </r>
  <r>
    <d v="2024-09-26T00:00:00"/>
    <x v="0"/>
    <x v="0"/>
    <x v="1"/>
    <n v="28"/>
    <n v="52"/>
    <n v="110"/>
    <n v="60"/>
    <n v="5720"/>
    <n v="3120"/>
    <n v="2600"/>
    <x v="5"/>
    <x v="1"/>
    <x v="2"/>
  </r>
  <r>
    <d v="2024-05-04T00:00:00"/>
    <x v="0"/>
    <x v="1"/>
    <x v="0"/>
    <n v="40"/>
    <n v="79"/>
    <n v="80"/>
    <n v="45"/>
    <n v="6320"/>
    <n v="3555"/>
    <n v="2765"/>
    <x v="1"/>
    <x v="0"/>
    <x v="0"/>
  </r>
  <r>
    <d v="2024-08-24T00:00:00"/>
    <x v="2"/>
    <x v="3"/>
    <x v="0"/>
    <n v="32"/>
    <n v="87"/>
    <n v="90"/>
    <n v="50"/>
    <n v="7830"/>
    <n v="4350"/>
    <n v="3480"/>
    <x v="7"/>
    <x v="1"/>
    <x v="1"/>
  </r>
  <r>
    <d v="2024-05-06T00:00:00"/>
    <x v="1"/>
    <x v="1"/>
    <x v="0"/>
    <n v="34"/>
    <n v="59"/>
    <n v="80"/>
    <n v="45"/>
    <n v="4720"/>
    <n v="2655"/>
    <n v="2065"/>
    <x v="1"/>
    <x v="0"/>
    <x v="1"/>
  </r>
  <r>
    <d v="2024-01-11T00:00:00"/>
    <x v="3"/>
    <x v="4"/>
    <x v="2"/>
    <n v="19"/>
    <n v="26"/>
    <n v="100"/>
    <n v="55"/>
    <n v="2600"/>
    <n v="1430"/>
    <n v="1170"/>
    <x v="10"/>
    <x v="3"/>
    <x v="3"/>
  </r>
  <r>
    <d v="2024-11-27T00:00:00"/>
    <x v="3"/>
    <x v="1"/>
    <x v="2"/>
    <n v="18"/>
    <n v="25"/>
    <n v="80"/>
    <n v="45"/>
    <n v="2000"/>
    <n v="1125"/>
    <n v="875"/>
    <x v="4"/>
    <x v="2"/>
    <x v="3"/>
  </r>
  <r>
    <d v="2024-08-30T00:00:00"/>
    <x v="0"/>
    <x v="5"/>
    <x v="0"/>
    <n v="34"/>
    <n v="35"/>
    <n v="100"/>
    <n v="55"/>
    <n v="3500"/>
    <n v="1925"/>
    <n v="1575"/>
    <x v="7"/>
    <x v="1"/>
    <x v="1"/>
  </r>
  <r>
    <d v="2024-12-29T00:00:00"/>
    <x v="0"/>
    <x v="5"/>
    <x v="0"/>
    <n v="21"/>
    <n v="22"/>
    <n v="100"/>
    <n v="55"/>
    <n v="2200"/>
    <n v="1210"/>
    <n v="990"/>
    <x v="3"/>
    <x v="2"/>
    <x v="3"/>
  </r>
  <r>
    <d v="2024-09-02T00:00:00"/>
    <x v="0"/>
    <x v="3"/>
    <x v="0"/>
    <n v="32"/>
    <n v="101"/>
    <n v="90"/>
    <n v="50"/>
    <n v="9090"/>
    <n v="5050"/>
    <n v="4040"/>
    <x v="5"/>
    <x v="1"/>
    <x v="1"/>
  </r>
  <r>
    <d v="2024-07-09T00:00:00"/>
    <x v="2"/>
    <x v="5"/>
    <x v="2"/>
    <n v="26"/>
    <n v="41"/>
    <n v="100"/>
    <n v="55"/>
    <n v="4100"/>
    <n v="2255"/>
    <n v="1845"/>
    <x v="2"/>
    <x v="1"/>
    <x v="2"/>
  </r>
  <r>
    <d v="2024-03-03T00:00:00"/>
    <x v="0"/>
    <x v="1"/>
    <x v="0"/>
    <n v="41"/>
    <n v="118"/>
    <n v="80"/>
    <n v="45"/>
    <n v="9440"/>
    <n v="5310"/>
    <n v="4130"/>
    <x v="8"/>
    <x v="3"/>
    <x v="0"/>
  </r>
  <r>
    <d v="2024-07-26T00:00:00"/>
    <x v="0"/>
    <x v="1"/>
    <x v="0"/>
    <n v="32"/>
    <n v="59"/>
    <n v="80"/>
    <n v="45"/>
    <n v="4720"/>
    <n v="2655"/>
    <n v="2065"/>
    <x v="2"/>
    <x v="1"/>
    <x v="1"/>
  </r>
  <r>
    <d v="2024-09-26T00:00:00"/>
    <x v="0"/>
    <x v="0"/>
    <x v="2"/>
    <n v="28"/>
    <n v="66"/>
    <n v="110"/>
    <n v="60"/>
    <n v="7260"/>
    <n v="3960"/>
    <n v="3300"/>
    <x v="5"/>
    <x v="1"/>
    <x v="2"/>
  </r>
  <r>
    <d v="2024-08-15T00:00:00"/>
    <x v="2"/>
    <x v="0"/>
    <x v="2"/>
    <n v="30"/>
    <n v="50"/>
    <n v="110"/>
    <n v="60"/>
    <n v="5500"/>
    <n v="3000"/>
    <n v="2500"/>
    <x v="7"/>
    <x v="1"/>
    <x v="2"/>
  </r>
  <r>
    <d v="2024-01-27T00:00:00"/>
    <x v="2"/>
    <x v="2"/>
    <x v="0"/>
    <n v="19"/>
    <n v="45"/>
    <n v="130"/>
    <n v="70"/>
    <n v="5850"/>
    <n v="3150"/>
    <n v="2700"/>
    <x v="10"/>
    <x v="3"/>
    <x v="3"/>
  </r>
  <r>
    <d v="2024-08-11T00:00:00"/>
    <x v="0"/>
    <x v="0"/>
    <x v="2"/>
    <n v="28"/>
    <n v="74"/>
    <n v="110"/>
    <n v="60"/>
    <n v="8140"/>
    <n v="4440"/>
    <n v="3700"/>
    <x v="7"/>
    <x v="1"/>
    <x v="2"/>
  </r>
  <r>
    <d v="2024-02-03T00:00:00"/>
    <x v="1"/>
    <x v="1"/>
    <x v="2"/>
    <n v="29"/>
    <n v="51"/>
    <n v="80"/>
    <n v="45"/>
    <n v="4080"/>
    <n v="2295"/>
    <n v="1785"/>
    <x v="6"/>
    <x v="3"/>
    <x v="2"/>
  </r>
  <r>
    <d v="2024-11-24T00:00:00"/>
    <x v="2"/>
    <x v="1"/>
    <x v="2"/>
    <n v="26"/>
    <n v="56"/>
    <n v="80"/>
    <n v="45"/>
    <n v="4480"/>
    <n v="2520"/>
    <n v="1960"/>
    <x v="4"/>
    <x v="2"/>
    <x v="2"/>
  </r>
  <r>
    <d v="2024-05-27T00:00:00"/>
    <x v="3"/>
    <x v="0"/>
    <x v="2"/>
    <n v="38"/>
    <n v="197"/>
    <n v="110"/>
    <n v="60"/>
    <n v="21670"/>
    <n v="11820"/>
    <n v="9850"/>
    <x v="1"/>
    <x v="0"/>
    <x v="0"/>
  </r>
  <r>
    <d v="2024-05-05T00:00:00"/>
    <x v="0"/>
    <x v="3"/>
    <x v="2"/>
    <n v="33"/>
    <n v="93"/>
    <n v="90"/>
    <n v="50"/>
    <n v="8370"/>
    <n v="4650"/>
    <n v="3720"/>
    <x v="1"/>
    <x v="0"/>
    <x v="1"/>
  </r>
  <r>
    <d v="2024-03-17T00:00:00"/>
    <x v="0"/>
    <x v="2"/>
    <x v="1"/>
    <n v="41"/>
    <n v="196"/>
    <n v="130"/>
    <n v="70"/>
    <n v="25480"/>
    <n v="13720"/>
    <n v="11760"/>
    <x v="8"/>
    <x v="3"/>
    <x v="0"/>
  </r>
  <r>
    <d v="2024-06-07T00:00:00"/>
    <x v="2"/>
    <x v="0"/>
    <x v="1"/>
    <n v="36"/>
    <n v="132"/>
    <n v="110"/>
    <n v="60"/>
    <n v="14520"/>
    <n v="7920"/>
    <n v="6600"/>
    <x v="11"/>
    <x v="0"/>
    <x v="0"/>
  </r>
  <r>
    <d v="2024-10-14T00:00:00"/>
    <x v="2"/>
    <x v="3"/>
    <x v="2"/>
    <n v="33"/>
    <n v="89"/>
    <n v="90"/>
    <n v="50"/>
    <n v="8010"/>
    <n v="4450"/>
    <n v="3560"/>
    <x v="9"/>
    <x v="2"/>
    <x v="1"/>
  </r>
  <r>
    <d v="2024-09-29T00:00:00"/>
    <x v="1"/>
    <x v="3"/>
    <x v="2"/>
    <n v="33"/>
    <n v="60"/>
    <n v="90"/>
    <n v="50"/>
    <n v="5400"/>
    <n v="3000"/>
    <n v="2400"/>
    <x v="5"/>
    <x v="1"/>
    <x v="1"/>
  </r>
  <r>
    <d v="2024-05-08T00:00:00"/>
    <x v="0"/>
    <x v="1"/>
    <x v="0"/>
    <n v="33"/>
    <n v="160"/>
    <n v="80"/>
    <n v="45"/>
    <n v="12800"/>
    <n v="7200"/>
    <n v="5600"/>
    <x v="1"/>
    <x v="0"/>
    <x v="1"/>
  </r>
  <r>
    <d v="2024-04-04T00:00:00"/>
    <x v="2"/>
    <x v="5"/>
    <x v="2"/>
    <n v="36"/>
    <n v="96"/>
    <n v="100"/>
    <n v="55"/>
    <n v="9600"/>
    <n v="5280"/>
    <n v="4320"/>
    <x v="0"/>
    <x v="0"/>
    <x v="0"/>
  </r>
  <r>
    <d v="2024-04-15T00:00:00"/>
    <x v="1"/>
    <x v="0"/>
    <x v="0"/>
    <n v="41"/>
    <n v="68"/>
    <n v="110"/>
    <n v="60"/>
    <n v="7480"/>
    <n v="4080"/>
    <n v="3400"/>
    <x v="0"/>
    <x v="0"/>
    <x v="0"/>
  </r>
  <r>
    <d v="2024-10-22T00:00:00"/>
    <x v="3"/>
    <x v="1"/>
    <x v="2"/>
    <n v="26"/>
    <n v="96"/>
    <n v="80"/>
    <n v="45"/>
    <n v="7680"/>
    <n v="4320"/>
    <n v="3360"/>
    <x v="9"/>
    <x v="2"/>
    <x v="2"/>
  </r>
  <r>
    <d v="2024-06-30T00:00:00"/>
    <x v="1"/>
    <x v="3"/>
    <x v="0"/>
    <n v="35"/>
    <n v="79"/>
    <n v="90"/>
    <n v="50"/>
    <n v="7110"/>
    <n v="3950"/>
    <n v="3160"/>
    <x v="11"/>
    <x v="0"/>
    <x v="1"/>
  </r>
  <r>
    <d v="2024-06-14T00:00:00"/>
    <x v="0"/>
    <x v="1"/>
    <x v="2"/>
    <n v="39"/>
    <n v="91"/>
    <n v="80"/>
    <n v="45"/>
    <n v="7280"/>
    <n v="4095"/>
    <n v="3185"/>
    <x v="11"/>
    <x v="0"/>
    <x v="0"/>
  </r>
  <r>
    <d v="2024-08-12T00:00:00"/>
    <x v="1"/>
    <x v="3"/>
    <x v="2"/>
    <n v="31"/>
    <n v="66"/>
    <n v="90"/>
    <n v="50"/>
    <n v="5940"/>
    <n v="3300"/>
    <n v="2640"/>
    <x v="7"/>
    <x v="1"/>
    <x v="1"/>
  </r>
  <r>
    <d v="2024-07-26T00:00:00"/>
    <x v="0"/>
    <x v="1"/>
    <x v="0"/>
    <n v="34"/>
    <n v="56"/>
    <n v="80"/>
    <n v="45"/>
    <n v="4480"/>
    <n v="2520"/>
    <n v="1960"/>
    <x v="2"/>
    <x v="1"/>
    <x v="1"/>
  </r>
  <r>
    <d v="2024-12-01T00:00:00"/>
    <x v="2"/>
    <x v="5"/>
    <x v="1"/>
    <n v="26"/>
    <n v="49"/>
    <n v="100"/>
    <n v="55"/>
    <n v="4900"/>
    <n v="2695"/>
    <n v="2205"/>
    <x v="3"/>
    <x v="2"/>
    <x v="2"/>
  </r>
  <r>
    <d v="2024-03-16T00:00:00"/>
    <x v="1"/>
    <x v="1"/>
    <x v="0"/>
    <n v="38"/>
    <n v="69"/>
    <n v="80"/>
    <n v="45"/>
    <n v="5520"/>
    <n v="3105"/>
    <n v="2415"/>
    <x v="8"/>
    <x v="3"/>
    <x v="0"/>
  </r>
  <r>
    <d v="2024-02-29T00:00:00"/>
    <x v="1"/>
    <x v="0"/>
    <x v="0"/>
    <n v="27"/>
    <n v="56"/>
    <n v="110"/>
    <n v="60"/>
    <n v="6160"/>
    <n v="3360"/>
    <n v="2800"/>
    <x v="6"/>
    <x v="3"/>
    <x v="2"/>
  </r>
  <r>
    <d v="2024-06-07T00:00:00"/>
    <x v="2"/>
    <x v="4"/>
    <x v="0"/>
    <n v="35"/>
    <n v="150"/>
    <n v="100"/>
    <n v="55"/>
    <n v="15000"/>
    <n v="8250"/>
    <n v="6750"/>
    <x v="11"/>
    <x v="0"/>
    <x v="1"/>
  </r>
  <r>
    <d v="2024-05-04T00:00:00"/>
    <x v="2"/>
    <x v="1"/>
    <x v="0"/>
    <n v="33"/>
    <n v="150"/>
    <n v="80"/>
    <n v="45"/>
    <n v="12000"/>
    <n v="6750"/>
    <n v="5250"/>
    <x v="1"/>
    <x v="0"/>
    <x v="1"/>
  </r>
  <r>
    <d v="2024-08-03T00:00:00"/>
    <x v="3"/>
    <x v="5"/>
    <x v="2"/>
    <n v="29"/>
    <n v="99"/>
    <n v="100"/>
    <n v="55"/>
    <n v="9900"/>
    <n v="5445"/>
    <n v="4455"/>
    <x v="7"/>
    <x v="1"/>
    <x v="2"/>
  </r>
  <r>
    <d v="2024-06-21T00:00:00"/>
    <x v="2"/>
    <x v="5"/>
    <x v="0"/>
    <n v="39"/>
    <n v="149"/>
    <n v="100"/>
    <n v="55"/>
    <n v="14900"/>
    <n v="8195"/>
    <n v="6705"/>
    <x v="11"/>
    <x v="0"/>
    <x v="0"/>
  </r>
  <r>
    <d v="2024-08-04T00:00:00"/>
    <x v="3"/>
    <x v="5"/>
    <x v="0"/>
    <n v="28"/>
    <n v="67"/>
    <n v="100"/>
    <n v="55"/>
    <n v="6700"/>
    <n v="3685"/>
    <n v="3015"/>
    <x v="7"/>
    <x v="1"/>
    <x v="2"/>
  </r>
  <r>
    <d v="2024-05-30T00:00:00"/>
    <x v="0"/>
    <x v="1"/>
    <x v="2"/>
    <n v="39"/>
    <n v="198"/>
    <n v="80"/>
    <n v="45"/>
    <n v="15840"/>
    <n v="8910"/>
    <n v="6930"/>
    <x v="1"/>
    <x v="0"/>
    <x v="0"/>
  </r>
  <r>
    <d v="2024-08-30T00:00:00"/>
    <x v="0"/>
    <x v="3"/>
    <x v="0"/>
    <n v="26"/>
    <n v="45"/>
    <n v="90"/>
    <n v="50"/>
    <n v="4050"/>
    <n v="2250"/>
    <n v="1800"/>
    <x v="7"/>
    <x v="1"/>
    <x v="2"/>
  </r>
  <r>
    <d v="2024-03-27T00:00:00"/>
    <x v="0"/>
    <x v="3"/>
    <x v="2"/>
    <n v="32"/>
    <n v="93"/>
    <n v="90"/>
    <n v="50"/>
    <n v="8370"/>
    <n v="4650"/>
    <n v="3720"/>
    <x v="8"/>
    <x v="3"/>
    <x v="1"/>
  </r>
  <r>
    <d v="2024-06-17T00:00:00"/>
    <x v="2"/>
    <x v="5"/>
    <x v="2"/>
    <n v="35"/>
    <n v="76"/>
    <n v="100"/>
    <n v="55"/>
    <n v="7600"/>
    <n v="4180"/>
    <n v="3420"/>
    <x v="11"/>
    <x v="0"/>
    <x v="1"/>
  </r>
  <r>
    <d v="2024-12-08T00:00:00"/>
    <x v="1"/>
    <x v="0"/>
    <x v="2"/>
    <n v="22"/>
    <n v="42"/>
    <n v="110"/>
    <n v="60"/>
    <n v="4620"/>
    <n v="2520"/>
    <n v="2100"/>
    <x v="3"/>
    <x v="2"/>
    <x v="3"/>
  </r>
  <r>
    <d v="2024-10-13T00:00:00"/>
    <x v="2"/>
    <x v="5"/>
    <x v="2"/>
    <n v="32"/>
    <n v="91"/>
    <n v="100"/>
    <n v="55"/>
    <n v="9100"/>
    <n v="5005"/>
    <n v="4095"/>
    <x v="9"/>
    <x v="2"/>
    <x v="1"/>
  </r>
  <r>
    <d v="2024-10-14T00:00:00"/>
    <x v="3"/>
    <x v="4"/>
    <x v="0"/>
    <n v="31"/>
    <n v="102"/>
    <n v="100"/>
    <n v="55"/>
    <n v="10200"/>
    <n v="5610"/>
    <n v="4590"/>
    <x v="9"/>
    <x v="2"/>
    <x v="1"/>
  </r>
  <r>
    <d v="2024-04-04T00:00:00"/>
    <x v="1"/>
    <x v="5"/>
    <x v="2"/>
    <n v="39"/>
    <n v="138"/>
    <n v="100"/>
    <n v="55"/>
    <n v="13800"/>
    <n v="7590"/>
    <n v="6210"/>
    <x v="0"/>
    <x v="0"/>
    <x v="0"/>
  </r>
  <r>
    <d v="2024-09-03T00:00:00"/>
    <x v="0"/>
    <x v="5"/>
    <x v="2"/>
    <n v="31"/>
    <n v="68"/>
    <n v="100"/>
    <n v="55"/>
    <n v="6800"/>
    <n v="3740"/>
    <n v="3060"/>
    <x v="5"/>
    <x v="1"/>
    <x v="1"/>
  </r>
  <r>
    <d v="2024-12-09T00:00:00"/>
    <x v="0"/>
    <x v="5"/>
    <x v="2"/>
    <n v="20"/>
    <n v="29"/>
    <n v="100"/>
    <n v="55"/>
    <n v="2900"/>
    <n v="1595"/>
    <n v="1305"/>
    <x v="3"/>
    <x v="2"/>
    <x v="3"/>
  </r>
  <r>
    <d v="2024-07-11T00:00:00"/>
    <x v="2"/>
    <x v="5"/>
    <x v="2"/>
    <n v="29"/>
    <n v="95"/>
    <n v="100"/>
    <n v="55"/>
    <n v="9500"/>
    <n v="5225"/>
    <n v="4275"/>
    <x v="2"/>
    <x v="1"/>
    <x v="2"/>
  </r>
  <r>
    <d v="2024-11-21T00:00:00"/>
    <x v="1"/>
    <x v="3"/>
    <x v="2"/>
    <n v="22"/>
    <n v="44"/>
    <n v="90"/>
    <n v="50"/>
    <n v="3960"/>
    <n v="2200"/>
    <n v="1760"/>
    <x v="4"/>
    <x v="2"/>
    <x v="3"/>
  </r>
  <r>
    <d v="2024-12-29T00:00:00"/>
    <x v="1"/>
    <x v="0"/>
    <x v="0"/>
    <n v="20"/>
    <n v="13"/>
    <n v="110"/>
    <n v="60"/>
    <n v="1430"/>
    <n v="780"/>
    <n v="650"/>
    <x v="3"/>
    <x v="2"/>
    <x v="3"/>
  </r>
  <r>
    <d v="2024-10-01T00:00:00"/>
    <x v="1"/>
    <x v="0"/>
    <x v="2"/>
    <n v="34"/>
    <n v="89"/>
    <n v="110"/>
    <n v="60"/>
    <n v="9790"/>
    <n v="5340"/>
    <n v="4450"/>
    <x v="9"/>
    <x v="2"/>
    <x v="1"/>
  </r>
  <r>
    <d v="2024-03-26T00:00:00"/>
    <x v="2"/>
    <x v="5"/>
    <x v="0"/>
    <n v="34"/>
    <n v="92"/>
    <n v="100"/>
    <n v="55"/>
    <n v="9200"/>
    <n v="5060"/>
    <n v="4140"/>
    <x v="8"/>
    <x v="3"/>
    <x v="1"/>
  </r>
  <r>
    <d v="2024-07-18T00:00:00"/>
    <x v="0"/>
    <x v="2"/>
    <x v="2"/>
    <n v="34"/>
    <n v="72"/>
    <n v="130"/>
    <n v="70"/>
    <n v="9360"/>
    <n v="5040"/>
    <n v="4320"/>
    <x v="2"/>
    <x v="1"/>
    <x v="1"/>
  </r>
  <r>
    <d v="2024-01-20T00:00:00"/>
    <x v="3"/>
    <x v="0"/>
    <x v="1"/>
    <n v="24"/>
    <n v="24"/>
    <n v="110"/>
    <n v="60"/>
    <n v="2640"/>
    <n v="1440"/>
    <n v="1200"/>
    <x v="10"/>
    <x v="3"/>
    <x v="3"/>
  </r>
  <r>
    <d v="2024-09-23T00:00:00"/>
    <x v="3"/>
    <x v="3"/>
    <x v="2"/>
    <n v="28"/>
    <n v="72"/>
    <n v="90"/>
    <n v="50"/>
    <n v="6480"/>
    <n v="3600"/>
    <n v="2880"/>
    <x v="5"/>
    <x v="1"/>
    <x v="2"/>
  </r>
  <r>
    <d v="2024-08-17T00:00:00"/>
    <x v="0"/>
    <x v="0"/>
    <x v="1"/>
    <n v="29"/>
    <n v="101"/>
    <n v="110"/>
    <n v="60"/>
    <n v="11110"/>
    <n v="6060"/>
    <n v="5050"/>
    <x v="7"/>
    <x v="1"/>
    <x v="2"/>
  </r>
  <r>
    <d v="2024-09-19T00:00:00"/>
    <x v="2"/>
    <x v="3"/>
    <x v="2"/>
    <n v="31"/>
    <n v="55"/>
    <n v="90"/>
    <n v="50"/>
    <n v="4950"/>
    <n v="2750"/>
    <n v="2200"/>
    <x v="5"/>
    <x v="1"/>
    <x v="1"/>
  </r>
  <r>
    <d v="2024-12-31T00:00:00"/>
    <x v="3"/>
    <x v="5"/>
    <x v="0"/>
    <n v="26"/>
    <n v="33"/>
    <n v="100"/>
    <n v="55"/>
    <n v="3300"/>
    <n v="1815"/>
    <n v="1485"/>
    <x v="3"/>
    <x v="2"/>
    <x v="2"/>
  </r>
  <r>
    <d v="2024-09-25T00:00:00"/>
    <x v="1"/>
    <x v="0"/>
    <x v="2"/>
    <n v="26"/>
    <n v="33"/>
    <n v="110"/>
    <n v="60"/>
    <n v="3630"/>
    <n v="1980"/>
    <n v="1650"/>
    <x v="5"/>
    <x v="1"/>
    <x v="2"/>
  </r>
  <r>
    <d v="2024-01-07T00:00:00"/>
    <x v="2"/>
    <x v="5"/>
    <x v="1"/>
    <n v="24"/>
    <n v="32"/>
    <n v="100"/>
    <n v="55"/>
    <n v="3200"/>
    <n v="1760"/>
    <n v="1440"/>
    <x v="10"/>
    <x v="3"/>
    <x v="3"/>
  </r>
  <r>
    <d v="2024-01-28T00:00:00"/>
    <x v="0"/>
    <x v="3"/>
    <x v="0"/>
    <n v="20"/>
    <n v="38"/>
    <n v="90"/>
    <n v="50"/>
    <n v="3420"/>
    <n v="1900"/>
    <n v="1520"/>
    <x v="10"/>
    <x v="3"/>
    <x v="3"/>
  </r>
  <r>
    <d v="2024-12-18T00:00:00"/>
    <x v="0"/>
    <x v="3"/>
    <x v="0"/>
    <n v="20"/>
    <n v="26"/>
    <n v="90"/>
    <n v="50"/>
    <n v="2340"/>
    <n v="1300"/>
    <n v="1040"/>
    <x v="3"/>
    <x v="2"/>
    <x v="3"/>
  </r>
  <r>
    <d v="2024-07-26T00:00:00"/>
    <x v="3"/>
    <x v="1"/>
    <x v="1"/>
    <n v="31"/>
    <n v="80"/>
    <n v="80"/>
    <n v="45"/>
    <n v="6400"/>
    <n v="3600"/>
    <n v="2800"/>
    <x v="2"/>
    <x v="1"/>
    <x v="1"/>
  </r>
  <r>
    <d v="2024-04-15T00:00:00"/>
    <x v="1"/>
    <x v="3"/>
    <x v="2"/>
    <n v="38"/>
    <n v="113"/>
    <n v="90"/>
    <n v="50"/>
    <n v="10170"/>
    <n v="5650"/>
    <n v="4520"/>
    <x v="0"/>
    <x v="0"/>
    <x v="0"/>
  </r>
  <r>
    <d v="2024-08-04T00:00:00"/>
    <x v="1"/>
    <x v="2"/>
    <x v="1"/>
    <n v="34"/>
    <n v="70"/>
    <n v="130"/>
    <n v="70"/>
    <n v="9100"/>
    <n v="4900"/>
    <n v="4200"/>
    <x v="7"/>
    <x v="1"/>
    <x v="1"/>
  </r>
  <r>
    <d v="2024-11-01T00:00:00"/>
    <x v="0"/>
    <x v="5"/>
    <x v="2"/>
    <n v="21"/>
    <n v="43"/>
    <n v="100"/>
    <n v="55"/>
    <n v="4300"/>
    <n v="2365"/>
    <n v="1935"/>
    <x v="4"/>
    <x v="2"/>
    <x v="3"/>
  </r>
  <r>
    <d v="2024-05-11T00:00:00"/>
    <x v="0"/>
    <x v="1"/>
    <x v="0"/>
    <n v="39"/>
    <n v="84"/>
    <n v="80"/>
    <n v="45"/>
    <n v="6720"/>
    <n v="3780"/>
    <n v="2940"/>
    <x v="1"/>
    <x v="0"/>
    <x v="0"/>
  </r>
  <r>
    <d v="2024-09-09T00:00:00"/>
    <x v="0"/>
    <x v="5"/>
    <x v="0"/>
    <n v="34"/>
    <n v="72"/>
    <n v="100"/>
    <n v="55"/>
    <n v="7200"/>
    <n v="3960"/>
    <n v="3240"/>
    <x v="5"/>
    <x v="1"/>
    <x v="1"/>
  </r>
  <r>
    <d v="2024-05-25T00:00:00"/>
    <x v="3"/>
    <x v="1"/>
    <x v="0"/>
    <n v="35"/>
    <n v="80"/>
    <n v="80"/>
    <n v="45"/>
    <n v="6400"/>
    <n v="3600"/>
    <n v="2800"/>
    <x v="1"/>
    <x v="0"/>
    <x v="1"/>
  </r>
  <r>
    <d v="2024-01-17T00:00:00"/>
    <x v="0"/>
    <x v="3"/>
    <x v="2"/>
    <n v="21"/>
    <n v="50"/>
    <n v="90"/>
    <n v="50"/>
    <n v="4500"/>
    <n v="2500"/>
    <n v="2000"/>
    <x v="10"/>
    <x v="3"/>
    <x v="3"/>
  </r>
  <r>
    <d v="2024-01-30T00:00:00"/>
    <x v="2"/>
    <x v="1"/>
    <x v="0"/>
    <n v="21"/>
    <n v="39"/>
    <n v="80"/>
    <n v="45"/>
    <n v="3120"/>
    <n v="1755"/>
    <n v="1365"/>
    <x v="10"/>
    <x v="3"/>
    <x v="3"/>
  </r>
  <r>
    <d v="2024-01-18T00:00:00"/>
    <x v="0"/>
    <x v="5"/>
    <x v="0"/>
    <n v="24"/>
    <n v="35"/>
    <n v="100"/>
    <n v="55"/>
    <n v="3500"/>
    <n v="1925"/>
    <n v="1575"/>
    <x v="10"/>
    <x v="3"/>
    <x v="3"/>
  </r>
  <r>
    <d v="2024-03-30T00:00:00"/>
    <x v="1"/>
    <x v="1"/>
    <x v="2"/>
    <n v="34"/>
    <n v="135"/>
    <n v="80"/>
    <n v="45"/>
    <n v="10800"/>
    <n v="6075"/>
    <n v="4725"/>
    <x v="8"/>
    <x v="3"/>
    <x v="1"/>
  </r>
  <r>
    <d v="2024-04-10T00:00:00"/>
    <x v="3"/>
    <x v="5"/>
    <x v="2"/>
    <n v="41"/>
    <n v="82"/>
    <n v="100"/>
    <n v="55"/>
    <n v="8200"/>
    <n v="4510"/>
    <n v="3690"/>
    <x v="0"/>
    <x v="0"/>
    <x v="0"/>
  </r>
  <r>
    <d v="2024-08-16T00:00:00"/>
    <x v="1"/>
    <x v="0"/>
    <x v="2"/>
    <n v="32"/>
    <n v="50"/>
    <n v="110"/>
    <n v="60"/>
    <n v="5500"/>
    <n v="3000"/>
    <n v="2500"/>
    <x v="7"/>
    <x v="1"/>
    <x v="1"/>
  </r>
  <r>
    <d v="2024-01-29T00:00:00"/>
    <x v="0"/>
    <x v="5"/>
    <x v="2"/>
    <n v="22"/>
    <n v="48"/>
    <n v="100"/>
    <n v="55"/>
    <n v="4800"/>
    <n v="2640"/>
    <n v="2160"/>
    <x v="10"/>
    <x v="3"/>
    <x v="3"/>
  </r>
  <r>
    <d v="2024-06-20T00:00:00"/>
    <x v="2"/>
    <x v="1"/>
    <x v="1"/>
    <n v="41"/>
    <n v="157"/>
    <n v="80"/>
    <n v="45"/>
    <n v="12560"/>
    <n v="7065"/>
    <n v="5495"/>
    <x v="11"/>
    <x v="0"/>
    <x v="0"/>
  </r>
  <r>
    <d v="2024-01-11T00:00:00"/>
    <x v="2"/>
    <x v="4"/>
    <x v="2"/>
    <n v="25"/>
    <n v="38"/>
    <n v="100"/>
    <n v="55"/>
    <n v="3800"/>
    <n v="2090"/>
    <n v="1710"/>
    <x v="10"/>
    <x v="3"/>
    <x v="2"/>
  </r>
  <r>
    <d v="2024-01-22T00:00:00"/>
    <x v="3"/>
    <x v="1"/>
    <x v="2"/>
    <n v="24"/>
    <n v="30"/>
    <n v="80"/>
    <n v="45"/>
    <n v="2400"/>
    <n v="1350"/>
    <n v="1050"/>
    <x v="10"/>
    <x v="3"/>
    <x v="3"/>
  </r>
  <r>
    <d v="2024-09-07T00:00:00"/>
    <x v="2"/>
    <x v="2"/>
    <x v="0"/>
    <n v="32"/>
    <n v="80"/>
    <n v="130"/>
    <n v="70"/>
    <n v="10400"/>
    <n v="5600"/>
    <n v="4800"/>
    <x v="5"/>
    <x v="1"/>
    <x v="1"/>
  </r>
  <r>
    <d v="2024-09-21T00:00:00"/>
    <x v="3"/>
    <x v="1"/>
    <x v="0"/>
    <n v="30"/>
    <n v="98"/>
    <n v="80"/>
    <n v="45"/>
    <n v="7840"/>
    <n v="4410"/>
    <n v="3430"/>
    <x v="5"/>
    <x v="1"/>
    <x v="2"/>
  </r>
  <r>
    <d v="2024-11-25T00:00:00"/>
    <x v="2"/>
    <x v="3"/>
    <x v="0"/>
    <n v="20"/>
    <n v="56"/>
    <n v="90"/>
    <n v="50"/>
    <n v="5040"/>
    <n v="2800"/>
    <n v="2240"/>
    <x v="4"/>
    <x v="2"/>
    <x v="3"/>
  </r>
  <r>
    <d v="2024-12-04T00:00:00"/>
    <x v="0"/>
    <x v="0"/>
    <x v="0"/>
    <n v="23"/>
    <n v="21"/>
    <n v="110"/>
    <n v="60"/>
    <n v="2310"/>
    <n v="1260"/>
    <n v="1050"/>
    <x v="3"/>
    <x v="2"/>
    <x v="3"/>
  </r>
  <r>
    <d v="2024-03-17T00:00:00"/>
    <x v="3"/>
    <x v="2"/>
    <x v="2"/>
    <n v="35"/>
    <n v="171"/>
    <n v="130"/>
    <n v="70"/>
    <n v="22230"/>
    <n v="11970"/>
    <n v="10260"/>
    <x v="8"/>
    <x v="3"/>
    <x v="1"/>
  </r>
  <r>
    <d v="2024-06-23T00:00:00"/>
    <x v="0"/>
    <x v="3"/>
    <x v="2"/>
    <n v="34"/>
    <n v="136"/>
    <n v="90"/>
    <n v="50"/>
    <n v="12240"/>
    <n v="6800"/>
    <n v="5440"/>
    <x v="11"/>
    <x v="0"/>
    <x v="1"/>
  </r>
  <r>
    <d v="2024-01-09T00:00:00"/>
    <x v="3"/>
    <x v="3"/>
    <x v="2"/>
    <n v="24"/>
    <n v="24"/>
    <n v="90"/>
    <n v="50"/>
    <n v="2160"/>
    <n v="1200"/>
    <n v="960"/>
    <x v="10"/>
    <x v="3"/>
    <x v="3"/>
  </r>
  <r>
    <d v="2024-04-11T00:00:00"/>
    <x v="3"/>
    <x v="4"/>
    <x v="0"/>
    <n v="41"/>
    <n v="50"/>
    <n v="100"/>
    <n v="55"/>
    <n v="5000"/>
    <n v="2750"/>
    <n v="2250"/>
    <x v="0"/>
    <x v="0"/>
    <x v="0"/>
  </r>
  <r>
    <d v="2024-07-26T00:00:00"/>
    <x v="0"/>
    <x v="4"/>
    <x v="2"/>
    <n v="34"/>
    <n v="41"/>
    <n v="100"/>
    <n v="55"/>
    <n v="4100"/>
    <n v="2255"/>
    <n v="1845"/>
    <x v="2"/>
    <x v="1"/>
    <x v="1"/>
  </r>
  <r>
    <d v="2024-07-06T00:00:00"/>
    <x v="2"/>
    <x v="1"/>
    <x v="2"/>
    <n v="31"/>
    <n v="52"/>
    <n v="80"/>
    <n v="45"/>
    <n v="4160"/>
    <n v="2340"/>
    <n v="1820"/>
    <x v="2"/>
    <x v="1"/>
    <x v="1"/>
  </r>
  <r>
    <d v="2024-01-25T00:00:00"/>
    <x v="2"/>
    <x v="1"/>
    <x v="0"/>
    <n v="26"/>
    <n v="27"/>
    <n v="80"/>
    <n v="45"/>
    <n v="2160"/>
    <n v="1215"/>
    <n v="945"/>
    <x v="10"/>
    <x v="3"/>
    <x v="2"/>
  </r>
  <r>
    <d v="2024-04-01T00:00:00"/>
    <x v="2"/>
    <x v="3"/>
    <x v="2"/>
    <n v="40"/>
    <n v="117"/>
    <n v="90"/>
    <n v="50"/>
    <n v="10530"/>
    <n v="5850"/>
    <n v="4680"/>
    <x v="0"/>
    <x v="0"/>
    <x v="0"/>
  </r>
  <r>
    <d v="2024-11-18T00:00:00"/>
    <x v="2"/>
    <x v="2"/>
    <x v="1"/>
    <n v="22"/>
    <n v="48"/>
    <n v="130"/>
    <n v="70"/>
    <n v="6240"/>
    <n v="3360"/>
    <n v="2880"/>
    <x v="4"/>
    <x v="2"/>
    <x v="3"/>
  </r>
  <r>
    <d v="2024-01-25T00:00:00"/>
    <x v="1"/>
    <x v="1"/>
    <x v="2"/>
    <n v="24"/>
    <n v="19"/>
    <n v="80"/>
    <n v="45"/>
    <n v="1520"/>
    <n v="855"/>
    <n v="665"/>
    <x v="10"/>
    <x v="3"/>
    <x v="3"/>
  </r>
  <r>
    <d v="2024-10-27T00:00:00"/>
    <x v="3"/>
    <x v="5"/>
    <x v="2"/>
    <n v="28"/>
    <n v="84"/>
    <n v="100"/>
    <n v="55"/>
    <n v="8400"/>
    <n v="4620"/>
    <n v="3780"/>
    <x v="9"/>
    <x v="2"/>
    <x v="2"/>
  </r>
  <r>
    <d v="2024-02-04T00:00:00"/>
    <x v="1"/>
    <x v="5"/>
    <x v="1"/>
    <n v="33"/>
    <n v="74"/>
    <n v="100"/>
    <n v="55"/>
    <n v="7400"/>
    <n v="4070"/>
    <n v="3330"/>
    <x v="6"/>
    <x v="3"/>
    <x v="1"/>
  </r>
  <r>
    <d v="2024-08-20T00:00:00"/>
    <x v="1"/>
    <x v="3"/>
    <x v="0"/>
    <n v="31"/>
    <n v="85"/>
    <n v="90"/>
    <n v="50"/>
    <n v="7650"/>
    <n v="4250"/>
    <n v="3400"/>
    <x v="7"/>
    <x v="1"/>
    <x v="1"/>
  </r>
  <r>
    <d v="2024-10-01T00:00:00"/>
    <x v="1"/>
    <x v="5"/>
    <x v="2"/>
    <n v="26"/>
    <n v="88"/>
    <n v="100"/>
    <n v="55"/>
    <n v="8800"/>
    <n v="4840"/>
    <n v="3960"/>
    <x v="9"/>
    <x v="2"/>
    <x v="2"/>
  </r>
  <r>
    <d v="2024-01-28T00:00:00"/>
    <x v="3"/>
    <x v="4"/>
    <x v="2"/>
    <n v="20"/>
    <n v="35"/>
    <n v="100"/>
    <n v="55"/>
    <n v="3500"/>
    <n v="1925"/>
    <n v="1575"/>
    <x v="10"/>
    <x v="3"/>
    <x v="3"/>
  </r>
  <r>
    <d v="2024-04-07T00:00:00"/>
    <x v="2"/>
    <x v="0"/>
    <x v="0"/>
    <n v="38"/>
    <n v="175"/>
    <n v="110"/>
    <n v="60"/>
    <n v="19250"/>
    <n v="10500"/>
    <n v="8750"/>
    <x v="0"/>
    <x v="0"/>
    <x v="0"/>
  </r>
  <r>
    <d v="2024-11-05T00:00:00"/>
    <x v="1"/>
    <x v="1"/>
    <x v="0"/>
    <n v="25"/>
    <n v="54"/>
    <n v="80"/>
    <n v="45"/>
    <n v="4320"/>
    <n v="2430"/>
    <n v="1890"/>
    <x v="4"/>
    <x v="2"/>
    <x v="2"/>
  </r>
  <r>
    <d v="2024-08-23T00:00:00"/>
    <x v="2"/>
    <x v="0"/>
    <x v="2"/>
    <n v="34"/>
    <n v="54"/>
    <n v="110"/>
    <n v="60"/>
    <n v="5940"/>
    <n v="3240"/>
    <n v="2700"/>
    <x v="7"/>
    <x v="1"/>
    <x v="1"/>
  </r>
  <r>
    <d v="2024-03-05T00:00:00"/>
    <x v="0"/>
    <x v="5"/>
    <x v="0"/>
    <n v="38"/>
    <n v="156"/>
    <n v="100"/>
    <n v="55"/>
    <n v="15600"/>
    <n v="8580"/>
    <n v="7020"/>
    <x v="8"/>
    <x v="3"/>
    <x v="0"/>
  </r>
  <r>
    <d v="2024-12-17T00:00:00"/>
    <x v="2"/>
    <x v="5"/>
    <x v="0"/>
    <n v="22"/>
    <n v="42"/>
    <n v="100"/>
    <n v="55"/>
    <n v="4200"/>
    <n v="2310"/>
    <n v="1890"/>
    <x v="3"/>
    <x v="2"/>
    <x v="3"/>
  </r>
  <r>
    <d v="2024-11-08T00:00:00"/>
    <x v="0"/>
    <x v="1"/>
    <x v="2"/>
    <n v="20"/>
    <n v="33"/>
    <n v="80"/>
    <n v="45"/>
    <n v="2640"/>
    <n v="1485"/>
    <n v="1155"/>
    <x v="4"/>
    <x v="2"/>
    <x v="3"/>
  </r>
  <r>
    <d v="2024-10-29T00:00:00"/>
    <x v="2"/>
    <x v="1"/>
    <x v="0"/>
    <n v="34"/>
    <n v="35"/>
    <n v="80"/>
    <n v="45"/>
    <n v="2800"/>
    <n v="1575"/>
    <n v="1225"/>
    <x v="9"/>
    <x v="2"/>
    <x v="1"/>
  </r>
  <r>
    <d v="2024-09-01T00:00:00"/>
    <x v="1"/>
    <x v="3"/>
    <x v="0"/>
    <n v="26"/>
    <n v="74"/>
    <n v="90"/>
    <n v="50"/>
    <n v="6660"/>
    <n v="3700"/>
    <n v="2960"/>
    <x v="5"/>
    <x v="1"/>
    <x v="2"/>
  </r>
  <r>
    <d v="2024-12-08T00:00:00"/>
    <x v="3"/>
    <x v="5"/>
    <x v="2"/>
    <n v="26"/>
    <n v="37"/>
    <n v="100"/>
    <n v="55"/>
    <n v="3700"/>
    <n v="2035"/>
    <n v="1665"/>
    <x v="3"/>
    <x v="2"/>
    <x v="2"/>
  </r>
  <r>
    <d v="2024-01-25T00:00:00"/>
    <x v="2"/>
    <x v="5"/>
    <x v="1"/>
    <n v="23"/>
    <n v="47"/>
    <n v="100"/>
    <n v="55"/>
    <n v="4700"/>
    <n v="2585"/>
    <n v="2115"/>
    <x v="10"/>
    <x v="3"/>
    <x v="3"/>
  </r>
  <r>
    <d v="2024-03-15T00:00:00"/>
    <x v="3"/>
    <x v="3"/>
    <x v="2"/>
    <n v="32"/>
    <n v="148"/>
    <n v="90"/>
    <n v="50"/>
    <n v="13320"/>
    <n v="7400"/>
    <n v="5920"/>
    <x v="8"/>
    <x v="3"/>
    <x v="1"/>
  </r>
  <r>
    <d v="2024-05-31T00:00:00"/>
    <x v="1"/>
    <x v="1"/>
    <x v="2"/>
    <n v="34"/>
    <n v="137"/>
    <n v="80"/>
    <n v="45"/>
    <n v="10960"/>
    <n v="6165"/>
    <n v="4795"/>
    <x v="1"/>
    <x v="0"/>
    <x v="1"/>
  </r>
  <r>
    <d v="2024-07-08T00:00:00"/>
    <x v="0"/>
    <x v="3"/>
    <x v="2"/>
    <n v="27"/>
    <n v="45"/>
    <n v="90"/>
    <n v="50"/>
    <n v="4050"/>
    <n v="2250"/>
    <n v="1800"/>
    <x v="2"/>
    <x v="1"/>
    <x v="2"/>
  </r>
  <r>
    <d v="2024-08-08T00:00:00"/>
    <x v="2"/>
    <x v="4"/>
    <x v="0"/>
    <n v="26"/>
    <n v="102"/>
    <n v="100"/>
    <n v="55"/>
    <n v="10200"/>
    <n v="5610"/>
    <n v="4590"/>
    <x v="7"/>
    <x v="1"/>
    <x v="2"/>
  </r>
  <r>
    <d v="2024-02-11T00:00:00"/>
    <x v="0"/>
    <x v="1"/>
    <x v="2"/>
    <n v="27"/>
    <n v="84"/>
    <n v="80"/>
    <n v="45"/>
    <n v="6720"/>
    <n v="3780"/>
    <n v="2940"/>
    <x v="6"/>
    <x v="3"/>
    <x v="2"/>
  </r>
  <r>
    <d v="2024-02-03T00:00:00"/>
    <x v="2"/>
    <x v="5"/>
    <x v="0"/>
    <n v="34"/>
    <n v="99"/>
    <n v="100"/>
    <n v="55"/>
    <n v="9900"/>
    <n v="5445"/>
    <n v="4455"/>
    <x v="6"/>
    <x v="3"/>
    <x v="1"/>
  </r>
  <r>
    <d v="2024-02-17T00:00:00"/>
    <x v="1"/>
    <x v="1"/>
    <x v="0"/>
    <n v="33"/>
    <n v="47"/>
    <n v="80"/>
    <n v="45"/>
    <n v="3760"/>
    <n v="2115"/>
    <n v="1645"/>
    <x v="6"/>
    <x v="3"/>
    <x v="1"/>
  </r>
  <r>
    <d v="2024-08-31T00:00:00"/>
    <x v="1"/>
    <x v="5"/>
    <x v="2"/>
    <n v="34"/>
    <n v="69"/>
    <n v="100"/>
    <n v="55"/>
    <n v="6900"/>
    <n v="3795"/>
    <n v="3105"/>
    <x v="7"/>
    <x v="1"/>
    <x v="1"/>
  </r>
  <r>
    <d v="2024-04-18T00:00:00"/>
    <x v="3"/>
    <x v="0"/>
    <x v="2"/>
    <n v="40"/>
    <n v="148"/>
    <n v="110"/>
    <n v="60"/>
    <n v="16280"/>
    <n v="8880"/>
    <n v="7400"/>
    <x v="0"/>
    <x v="0"/>
    <x v="0"/>
  </r>
  <r>
    <d v="2024-11-03T00:00:00"/>
    <x v="1"/>
    <x v="0"/>
    <x v="0"/>
    <n v="19"/>
    <n v="56"/>
    <n v="110"/>
    <n v="60"/>
    <n v="6160"/>
    <n v="3360"/>
    <n v="2800"/>
    <x v="4"/>
    <x v="2"/>
    <x v="3"/>
  </r>
  <r>
    <d v="2024-04-02T00:00:00"/>
    <x v="3"/>
    <x v="2"/>
    <x v="0"/>
    <n v="40"/>
    <n v="144"/>
    <n v="130"/>
    <n v="70"/>
    <n v="18720"/>
    <n v="10080"/>
    <n v="8640"/>
    <x v="0"/>
    <x v="0"/>
    <x v="0"/>
  </r>
  <r>
    <d v="2024-01-08T00:00:00"/>
    <x v="0"/>
    <x v="3"/>
    <x v="2"/>
    <n v="22"/>
    <n v="39"/>
    <n v="90"/>
    <n v="50"/>
    <n v="3510"/>
    <n v="1950"/>
    <n v="1560"/>
    <x v="10"/>
    <x v="3"/>
    <x v="3"/>
  </r>
  <r>
    <d v="2024-09-23T00:00:00"/>
    <x v="0"/>
    <x v="1"/>
    <x v="1"/>
    <n v="30"/>
    <n v="42"/>
    <n v="80"/>
    <n v="45"/>
    <n v="3360"/>
    <n v="1890"/>
    <n v="1470"/>
    <x v="5"/>
    <x v="1"/>
    <x v="2"/>
  </r>
  <r>
    <d v="2024-03-14T00:00:00"/>
    <x v="0"/>
    <x v="2"/>
    <x v="0"/>
    <n v="38"/>
    <n v="105"/>
    <n v="130"/>
    <n v="70"/>
    <n v="13650"/>
    <n v="7350"/>
    <n v="6300"/>
    <x v="8"/>
    <x v="3"/>
    <x v="0"/>
  </r>
  <r>
    <d v="2024-04-12T00:00:00"/>
    <x v="1"/>
    <x v="2"/>
    <x v="1"/>
    <n v="33"/>
    <n v="138"/>
    <n v="130"/>
    <n v="70"/>
    <n v="17940"/>
    <n v="9660"/>
    <n v="8280"/>
    <x v="0"/>
    <x v="0"/>
    <x v="1"/>
  </r>
  <r>
    <d v="2024-10-02T00:00:00"/>
    <x v="0"/>
    <x v="5"/>
    <x v="0"/>
    <n v="32"/>
    <n v="42"/>
    <n v="100"/>
    <n v="55"/>
    <n v="4200"/>
    <n v="2310"/>
    <n v="1890"/>
    <x v="9"/>
    <x v="2"/>
    <x v="1"/>
  </r>
  <r>
    <d v="2024-08-07T00:00:00"/>
    <x v="2"/>
    <x v="1"/>
    <x v="2"/>
    <n v="31"/>
    <n v="104"/>
    <n v="80"/>
    <n v="45"/>
    <n v="8320"/>
    <n v="4680"/>
    <n v="3640"/>
    <x v="7"/>
    <x v="1"/>
    <x v="1"/>
  </r>
  <r>
    <d v="2024-12-05T00:00:00"/>
    <x v="0"/>
    <x v="0"/>
    <x v="2"/>
    <n v="25"/>
    <n v="28"/>
    <n v="110"/>
    <n v="60"/>
    <n v="3080"/>
    <n v="1680"/>
    <n v="1400"/>
    <x v="3"/>
    <x v="2"/>
    <x v="2"/>
  </r>
  <r>
    <d v="2024-12-26T00:00:00"/>
    <x v="1"/>
    <x v="5"/>
    <x v="1"/>
    <n v="18"/>
    <n v="23"/>
    <n v="100"/>
    <n v="55"/>
    <n v="2300"/>
    <n v="1265"/>
    <n v="1035"/>
    <x v="3"/>
    <x v="2"/>
    <x v="3"/>
  </r>
  <r>
    <d v="2024-12-23T00:00:00"/>
    <x v="0"/>
    <x v="3"/>
    <x v="0"/>
    <n v="23"/>
    <n v="25"/>
    <n v="90"/>
    <n v="50"/>
    <n v="2250"/>
    <n v="1250"/>
    <n v="1000"/>
    <x v="3"/>
    <x v="2"/>
    <x v="3"/>
  </r>
  <r>
    <d v="2024-08-19T00:00:00"/>
    <x v="0"/>
    <x v="4"/>
    <x v="0"/>
    <n v="26"/>
    <n v="71"/>
    <n v="100"/>
    <n v="55"/>
    <n v="7100"/>
    <n v="3905"/>
    <n v="3195"/>
    <x v="7"/>
    <x v="1"/>
    <x v="2"/>
  </r>
  <r>
    <d v="2024-07-09T00:00:00"/>
    <x v="3"/>
    <x v="2"/>
    <x v="0"/>
    <n v="34"/>
    <n v="65"/>
    <n v="130"/>
    <n v="70"/>
    <n v="8450"/>
    <n v="4550"/>
    <n v="3900"/>
    <x v="2"/>
    <x v="1"/>
    <x v="1"/>
  </r>
  <r>
    <d v="2024-01-06T00:00:00"/>
    <x v="3"/>
    <x v="0"/>
    <x v="0"/>
    <n v="24"/>
    <n v="34"/>
    <n v="110"/>
    <n v="60"/>
    <n v="3740"/>
    <n v="2040"/>
    <n v="1700"/>
    <x v="10"/>
    <x v="3"/>
    <x v="3"/>
  </r>
  <r>
    <d v="2024-12-02T00:00:00"/>
    <x v="0"/>
    <x v="0"/>
    <x v="2"/>
    <n v="20"/>
    <n v="43"/>
    <n v="110"/>
    <n v="60"/>
    <n v="4730"/>
    <n v="2580"/>
    <n v="2150"/>
    <x v="3"/>
    <x v="2"/>
    <x v="3"/>
  </r>
  <r>
    <d v="2024-03-15T00:00:00"/>
    <x v="0"/>
    <x v="4"/>
    <x v="1"/>
    <n v="37"/>
    <n v="70"/>
    <n v="100"/>
    <n v="55"/>
    <n v="7000"/>
    <n v="3850"/>
    <n v="3150"/>
    <x v="8"/>
    <x v="3"/>
    <x v="0"/>
  </r>
  <r>
    <d v="2024-07-02T00:00:00"/>
    <x v="3"/>
    <x v="1"/>
    <x v="1"/>
    <n v="32"/>
    <n v="88"/>
    <n v="80"/>
    <n v="45"/>
    <n v="7040"/>
    <n v="3960"/>
    <n v="3080"/>
    <x v="2"/>
    <x v="1"/>
    <x v="1"/>
  </r>
  <r>
    <d v="2024-04-18T00:00:00"/>
    <x v="1"/>
    <x v="0"/>
    <x v="0"/>
    <n v="34"/>
    <n v="84"/>
    <n v="110"/>
    <n v="60"/>
    <n v="9240"/>
    <n v="5040"/>
    <n v="4200"/>
    <x v="0"/>
    <x v="0"/>
    <x v="1"/>
  </r>
  <r>
    <d v="2024-09-02T00:00:00"/>
    <x v="3"/>
    <x v="5"/>
    <x v="1"/>
    <n v="31"/>
    <n v="109"/>
    <n v="100"/>
    <n v="55"/>
    <n v="10900"/>
    <n v="5995"/>
    <n v="4905"/>
    <x v="5"/>
    <x v="1"/>
    <x v="1"/>
  </r>
  <r>
    <d v="2024-06-20T00:00:00"/>
    <x v="3"/>
    <x v="1"/>
    <x v="0"/>
    <n v="35"/>
    <n v="112"/>
    <n v="80"/>
    <n v="45"/>
    <n v="8960"/>
    <n v="5040"/>
    <n v="3920"/>
    <x v="11"/>
    <x v="0"/>
    <x v="1"/>
  </r>
  <r>
    <d v="2024-06-13T00:00:00"/>
    <x v="1"/>
    <x v="3"/>
    <x v="2"/>
    <n v="34"/>
    <n v="182"/>
    <n v="90"/>
    <n v="50"/>
    <n v="16380"/>
    <n v="9100"/>
    <n v="7280"/>
    <x v="11"/>
    <x v="0"/>
    <x v="1"/>
  </r>
  <r>
    <d v="2024-06-23T00:00:00"/>
    <x v="3"/>
    <x v="1"/>
    <x v="0"/>
    <n v="32"/>
    <n v="110"/>
    <n v="80"/>
    <n v="45"/>
    <n v="8800"/>
    <n v="4950"/>
    <n v="3850"/>
    <x v="11"/>
    <x v="0"/>
    <x v="1"/>
  </r>
  <r>
    <d v="2024-01-24T00:00:00"/>
    <x v="1"/>
    <x v="1"/>
    <x v="2"/>
    <n v="23"/>
    <n v="59"/>
    <n v="80"/>
    <n v="45"/>
    <n v="4720"/>
    <n v="2655"/>
    <n v="2065"/>
    <x v="10"/>
    <x v="3"/>
    <x v="3"/>
  </r>
  <r>
    <d v="2024-01-27T00:00:00"/>
    <x v="1"/>
    <x v="0"/>
    <x v="2"/>
    <n v="26"/>
    <n v="12"/>
    <n v="110"/>
    <n v="60"/>
    <n v="1320"/>
    <n v="720"/>
    <n v="600"/>
    <x v="10"/>
    <x v="3"/>
    <x v="2"/>
  </r>
  <r>
    <d v="2024-12-19T00:00:00"/>
    <x v="2"/>
    <x v="0"/>
    <x v="2"/>
    <n v="21"/>
    <n v="39"/>
    <n v="110"/>
    <n v="60"/>
    <n v="4290"/>
    <n v="2340"/>
    <n v="1950"/>
    <x v="3"/>
    <x v="2"/>
    <x v="3"/>
  </r>
  <r>
    <d v="2024-08-28T00:00:00"/>
    <x v="0"/>
    <x v="1"/>
    <x v="2"/>
    <n v="34"/>
    <n v="107"/>
    <n v="80"/>
    <n v="45"/>
    <n v="8560"/>
    <n v="4815"/>
    <n v="3745"/>
    <x v="7"/>
    <x v="1"/>
    <x v="1"/>
  </r>
  <r>
    <d v="2024-12-14T00:00:00"/>
    <x v="2"/>
    <x v="3"/>
    <x v="1"/>
    <n v="26"/>
    <n v="40"/>
    <n v="90"/>
    <n v="50"/>
    <n v="3600"/>
    <n v="2000"/>
    <n v="1600"/>
    <x v="3"/>
    <x v="2"/>
    <x v="2"/>
  </r>
  <r>
    <d v="2024-02-07T00:00:00"/>
    <x v="2"/>
    <x v="1"/>
    <x v="2"/>
    <n v="34"/>
    <n v="107"/>
    <n v="80"/>
    <n v="45"/>
    <n v="8560"/>
    <n v="4815"/>
    <n v="3745"/>
    <x v="6"/>
    <x v="3"/>
    <x v="1"/>
  </r>
  <r>
    <d v="2024-02-25T00:00:00"/>
    <x v="2"/>
    <x v="3"/>
    <x v="2"/>
    <n v="28"/>
    <n v="51"/>
    <n v="90"/>
    <n v="50"/>
    <n v="4590"/>
    <n v="2550"/>
    <n v="2040"/>
    <x v="6"/>
    <x v="3"/>
    <x v="2"/>
  </r>
  <r>
    <d v="2024-09-28T00:00:00"/>
    <x v="1"/>
    <x v="4"/>
    <x v="2"/>
    <n v="32"/>
    <n v="109"/>
    <n v="100"/>
    <n v="55"/>
    <n v="10900"/>
    <n v="5995"/>
    <n v="4905"/>
    <x v="5"/>
    <x v="1"/>
    <x v="1"/>
  </r>
  <r>
    <d v="2024-05-09T00:00:00"/>
    <x v="1"/>
    <x v="2"/>
    <x v="0"/>
    <n v="38"/>
    <n v="130"/>
    <n v="130"/>
    <n v="70"/>
    <n v="16900"/>
    <n v="9100"/>
    <n v="7800"/>
    <x v="1"/>
    <x v="0"/>
    <x v="0"/>
  </r>
  <r>
    <d v="2024-11-20T00:00:00"/>
    <x v="0"/>
    <x v="5"/>
    <x v="2"/>
    <n v="25"/>
    <n v="46"/>
    <n v="100"/>
    <n v="55"/>
    <n v="4600"/>
    <n v="2530"/>
    <n v="2070"/>
    <x v="4"/>
    <x v="2"/>
    <x v="2"/>
  </r>
  <r>
    <d v="2024-07-19T00:00:00"/>
    <x v="0"/>
    <x v="5"/>
    <x v="2"/>
    <n v="31"/>
    <n v="93"/>
    <n v="100"/>
    <n v="55"/>
    <n v="9300"/>
    <n v="5115"/>
    <n v="4185"/>
    <x v="2"/>
    <x v="1"/>
    <x v="1"/>
  </r>
  <r>
    <d v="2024-10-04T00:00:00"/>
    <x v="1"/>
    <x v="4"/>
    <x v="0"/>
    <n v="32"/>
    <n v="47"/>
    <n v="100"/>
    <n v="55"/>
    <n v="4700"/>
    <n v="2585"/>
    <n v="2115"/>
    <x v="9"/>
    <x v="2"/>
    <x v="1"/>
  </r>
  <r>
    <d v="2024-04-06T00:00:00"/>
    <x v="0"/>
    <x v="0"/>
    <x v="2"/>
    <n v="32"/>
    <n v="76"/>
    <n v="110"/>
    <n v="60"/>
    <n v="8360"/>
    <n v="4560"/>
    <n v="3800"/>
    <x v="0"/>
    <x v="0"/>
    <x v="1"/>
  </r>
  <r>
    <d v="2024-10-10T00:00:00"/>
    <x v="1"/>
    <x v="1"/>
    <x v="1"/>
    <n v="27"/>
    <n v="91"/>
    <n v="80"/>
    <n v="45"/>
    <n v="7280"/>
    <n v="4095"/>
    <n v="3185"/>
    <x v="9"/>
    <x v="2"/>
    <x v="2"/>
  </r>
  <r>
    <d v="2024-03-27T00:00:00"/>
    <x v="0"/>
    <x v="0"/>
    <x v="0"/>
    <n v="37"/>
    <n v="67"/>
    <n v="110"/>
    <n v="60"/>
    <n v="7370"/>
    <n v="4020"/>
    <n v="3350"/>
    <x v="8"/>
    <x v="3"/>
    <x v="0"/>
  </r>
  <r>
    <d v="2024-04-22T00:00:00"/>
    <x v="1"/>
    <x v="5"/>
    <x v="0"/>
    <n v="33"/>
    <n v="128"/>
    <n v="100"/>
    <n v="55"/>
    <n v="12800"/>
    <n v="7040"/>
    <n v="5760"/>
    <x v="0"/>
    <x v="0"/>
    <x v="1"/>
  </r>
  <r>
    <d v="2024-06-30T00:00:00"/>
    <x v="1"/>
    <x v="1"/>
    <x v="2"/>
    <n v="38"/>
    <n v="116"/>
    <n v="80"/>
    <n v="45"/>
    <n v="9280"/>
    <n v="5220"/>
    <n v="4060"/>
    <x v="11"/>
    <x v="0"/>
    <x v="0"/>
  </r>
  <r>
    <d v="2024-09-04T00:00:00"/>
    <x v="2"/>
    <x v="5"/>
    <x v="2"/>
    <n v="29"/>
    <n v="94"/>
    <n v="100"/>
    <n v="55"/>
    <n v="9400"/>
    <n v="5170"/>
    <n v="4230"/>
    <x v="5"/>
    <x v="1"/>
    <x v="2"/>
  </r>
  <r>
    <d v="2024-10-31T00:00:00"/>
    <x v="0"/>
    <x v="4"/>
    <x v="0"/>
    <n v="34"/>
    <n v="107"/>
    <n v="100"/>
    <n v="55"/>
    <n v="10700"/>
    <n v="5885"/>
    <n v="4815"/>
    <x v="9"/>
    <x v="2"/>
    <x v="1"/>
  </r>
  <r>
    <d v="2024-09-07T00:00:00"/>
    <x v="3"/>
    <x v="5"/>
    <x v="2"/>
    <n v="29"/>
    <n v="99"/>
    <n v="100"/>
    <n v="55"/>
    <n v="9900"/>
    <n v="5445"/>
    <n v="4455"/>
    <x v="5"/>
    <x v="1"/>
    <x v="2"/>
  </r>
  <r>
    <d v="2024-11-23T00:00:00"/>
    <x v="0"/>
    <x v="5"/>
    <x v="2"/>
    <n v="24"/>
    <n v="56"/>
    <n v="100"/>
    <n v="55"/>
    <n v="5600"/>
    <n v="3080"/>
    <n v="2520"/>
    <x v="4"/>
    <x v="2"/>
    <x v="3"/>
  </r>
  <r>
    <d v="2024-03-23T00:00:00"/>
    <x v="0"/>
    <x v="5"/>
    <x v="2"/>
    <n v="37"/>
    <n v="111"/>
    <n v="100"/>
    <n v="55"/>
    <n v="11100"/>
    <n v="6105"/>
    <n v="4995"/>
    <x v="8"/>
    <x v="3"/>
    <x v="0"/>
  </r>
  <r>
    <d v="2024-07-30T00:00:00"/>
    <x v="1"/>
    <x v="4"/>
    <x v="0"/>
    <n v="27"/>
    <n v="94"/>
    <n v="100"/>
    <n v="55"/>
    <n v="9400"/>
    <n v="5170"/>
    <n v="4230"/>
    <x v="2"/>
    <x v="1"/>
    <x v="2"/>
  </r>
  <r>
    <d v="2024-09-03T00:00:00"/>
    <x v="0"/>
    <x v="2"/>
    <x v="0"/>
    <n v="33"/>
    <n v="108"/>
    <n v="130"/>
    <n v="70"/>
    <n v="14040"/>
    <n v="7560"/>
    <n v="6480"/>
    <x v="5"/>
    <x v="1"/>
    <x v="1"/>
  </r>
  <r>
    <d v="2024-10-04T00:00:00"/>
    <x v="0"/>
    <x v="0"/>
    <x v="2"/>
    <n v="27"/>
    <n v="64"/>
    <n v="110"/>
    <n v="60"/>
    <n v="7040"/>
    <n v="3840"/>
    <n v="3200"/>
    <x v="9"/>
    <x v="2"/>
    <x v="2"/>
  </r>
  <r>
    <d v="2024-11-03T00:00:00"/>
    <x v="0"/>
    <x v="4"/>
    <x v="2"/>
    <n v="22"/>
    <n v="10"/>
    <n v="100"/>
    <n v="55"/>
    <n v="1000"/>
    <n v="550"/>
    <n v="450"/>
    <x v="4"/>
    <x v="2"/>
    <x v="3"/>
  </r>
  <r>
    <d v="2024-01-16T00:00:00"/>
    <x v="3"/>
    <x v="1"/>
    <x v="2"/>
    <n v="18"/>
    <n v="25"/>
    <n v="80"/>
    <n v="45"/>
    <n v="2000"/>
    <n v="1125"/>
    <n v="875"/>
    <x v="10"/>
    <x v="3"/>
    <x v="3"/>
  </r>
  <r>
    <d v="2024-04-09T00:00:00"/>
    <x v="3"/>
    <x v="2"/>
    <x v="0"/>
    <n v="38"/>
    <n v="72"/>
    <n v="130"/>
    <n v="70"/>
    <n v="9360"/>
    <n v="5040"/>
    <n v="4320"/>
    <x v="0"/>
    <x v="0"/>
    <x v="0"/>
  </r>
  <r>
    <d v="2024-06-29T00:00:00"/>
    <x v="0"/>
    <x v="5"/>
    <x v="2"/>
    <n v="38"/>
    <n v="127"/>
    <n v="100"/>
    <n v="55"/>
    <n v="12700"/>
    <n v="6985"/>
    <n v="5715"/>
    <x v="11"/>
    <x v="0"/>
    <x v="0"/>
  </r>
  <r>
    <d v="2024-04-05T00:00:00"/>
    <x v="0"/>
    <x v="0"/>
    <x v="2"/>
    <n v="37"/>
    <n v="189"/>
    <n v="110"/>
    <n v="60"/>
    <n v="20790"/>
    <n v="11340"/>
    <n v="9450"/>
    <x v="0"/>
    <x v="0"/>
    <x v="0"/>
  </r>
  <r>
    <d v="2024-05-29T00:00:00"/>
    <x v="1"/>
    <x v="0"/>
    <x v="2"/>
    <n v="37"/>
    <n v="107"/>
    <n v="110"/>
    <n v="60"/>
    <n v="11770"/>
    <n v="6420"/>
    <n v="5350"/>
    <x v="1"/>
    <x v="0"/>
    <x v="0"/>
  </r>
  <r>
    <d v="2024-07-29T00:00:00"/>
    <x v="2"/>
    <x v="5"/>
    <x v="2"/>
    <n v="32"/>
    <n v="55"/>
    <n v="100"/>
    <n v="55"/>
    <n v="5500"/>
    <n v="3025"/>
    <n v="2475"/>
    <x v="2"/>
    <x v="1"/>
    <x v="1"/>
  </r>
  <r>
    <d v="2024-11-30T00:00:00"/>
    <x v="2"/>
    <x v="2"/>
    <x v="2"/>
    <n v="24"/>
    <n v="54"/>
    <n v="130"/>
    <n v="70"/>
    <n v="7020"/>
    <n v="3780"/>
    <n v="3240"/>
    <x v="4"/>
    <x v="2"/>
    <x v="3"/>
  </r>
  <r>
    <d v="2024-07-10T00:00:00"/>
    <x v="1"/>
    <x v="1"/>
    <x v="0"/>
    <n v="32"/>
    <n v="109"/>
    <n v="80"/>
    <n v="45"/>
    <n v="8720"/>
    <n v="4905"/>
    <n v="3815"/>
    <x v="2"/>
    <x v="1"/>
    <x v="1"/>
  </r>
  <r>
    <d v="2024-10-20T00:00:00"/>
    <x v="1"/>
    <x v="5"/>
    <x v="2"/>
    <n v="28"/>
    <n v="108"/>
    <n v="100"/>
    <n v="55"/>
    <n v="10800"/>
    <n v="5940"/>
    <n v="4860"/>
    <x v="9"/>
    <x v="2"/>
    <x v="2"/>
  </r>
  <r>
    <d v="2024-12-08T00:00:00"/>
    <x v="2"/>
    <x v="3"/>
    <x v="0"/>
    <n v="20"/>
    <n v="16"/>
    <n v="90"/>
    <n v="50"/>
    <n v="1440"/>
    <n v="800"/>
    <n v="640"/>
    <x v="3"/>
    <x v="2"/>
    <x v="3"/>
  </r>
  <r>
    <d v="2024-11-09T00:00:00"/>
    <x v="3"/>
    <x v="3"/>
    <x v="2"/>
    <n v="21"/>
    <n v="10"/>
    <n v="90"/>
    <n v="50"/>
    <n v="900"/>
    <n v="500"/>
    <n v="400"/>
    <x v="4"/>
    <x v="2"/>
    <x v="3"/>
  </r>
  <r>
    <d v="2024-08-11T00:00:00"/>
    <x v="1"/>
    <x v="2"/>
    <x v="0"/>
    <n v="29"/>
    <n v="59"/>
    <n v="130"/>
    <n v="70"/>
    <n v="7670"/>
    <n v="4130"/>
    <n v="3540"/>
    <x v="7"/>
    <x v="1"/>
    <x v="2"/>
  </r>
  <r>
    <d v="2024-05-05T00:00:00"/>
    <x v="2"/>
    <x v="1"/>
    <x v="1"/>
    <n v="39"/>
    <n v="100"/>
    <n v="80"/>
    <n v="45"/>
    <n v="8000"/>
    <n v="4500"/>
    <n v="3500"/>
    <x v="1"/>
    <x v="0"/>
    <x v="0"/>
  </r>
  <r>
    <d v="2024-07-26T00:00:00"/>
    <x v="2"/>
    <x v="0"/>
    <x v="0"/>
    <n v="27"/>
    <n v="93"/>
    <n v="110"/>
    <n v="60"/>
    <n v="10230"/>
    <n v="5580"/>
    <n v="4650"/>
    <x v="2"/>
    <x v="1"/>
    <x v="2"/>
  </r>
  <r>
    <d v="2024-05-09T00:00:00"/>
    <x v="2"/>
    <x v="5"/>
    <x v="2"/>
    <n v="38"/>
    <n v="138"/>
    <n v="100"/>
    <n v="55"/>
    <n v="13800"/>
    <n v="7590"/>
    <n v="6210"/>
    <x v="1"/>
    <x v="0"/>
    <x v="0"/>
  </r>
  <r>
    <d v="2024-10-04T00:00:00"/>
    <x v="2"/>
    <x v="1"/>
    <x v="1"/>
    <n v="30"/>
    <n v="54"/>
    <n v="80"/>
    <n v="45"/>
    <n v="4320"/>
    <n v="2430"/>
    <n v="1890"/>
    <x v="9"/>
    <x v="2"/>
    <x v="2"/>
  </r>
  <r>
    <d v="2024-06-24T00:00:00"/>
    <x v="2"/>
    <x v="1"/>
    <x v="2"/>
    <n v="39"/>
    <n v="159"/>
    <n v="80"/>
    <n v="45"/>
    <n v="12720"/>
    <n v="7155"/>
    <n v="5565"/>
    <x v="11"/>
    <x v="0"/>
    <x v="0"/>
  </r>
  <r>
    <d v="2024-04-06T00:00:00"/>
    <x v="3"/>
    <x v="1"/>
    <x v="2"/>
    <n v="39"/>
    <n v="170"/>
    <n v="80"/>
    <n v="45"/>
    <n v="13600"/>
    <n v="7650"/>
    <n v="5950"/>
    <x v="0"/>
    <x v="0"/>
    <x v="0"/>
  </r>
  <r>
    <d v="2024-05-16T00:00:00"/>
    <x v="0"/>
    <x v="5"/>
    <x v="0"/>
    <n v="39"/>
    <n v="143"/>
    <n v="100"/>
    <n v="55"/>
    <n v="14300"/>
    <n v="7865"/>
    <n v="6435"/>
    <x v="1"/>
    <x v="0"/>
    <x v="0"/>
  </r>
  <r>
    <d v="2024-07-21T00:00:00"/>
    <x v="2"/>
    <x v="1"/>
    <x v="2"/>
    <n v="26"/>
    <n v="103"/>
    <n v="80"/>
    <n v="45"/>
    <n v="8240"/>
    <n v="4635"/>
    <n v="3605"/>
    <x v="2"/>
    <x v="1"/>
    <x v="2"/>
  </r>
  <r>
    <d v="2024-09-30T00:00:00"/>
    <x v="0"/>
    <x v="0"/>
    <x v="0"/>
    <n v="34"/>
    <n v="46"/>
    <n v="110"/>
    <n v="60"/>
    <n v="5060"/>
    <n v="2760"/>
    <n v="2300"/>
    <x v="5"/>
    <x v="1"/>
    <x v="1"/>
  </r>
  <r>
    <d v="2024-01-14T00:00:00"/>
    <x v="0"/>
    <x v="0"/>
    <x v="1"/>
    <n v="25"/>
    <n v="29"/>
    <n v="110"/>
    <n v="60"/>
    <n v="3190"/>
    <n v="1740"/>
    <n v="1450"/>
    <x v="10"/>
    <x v="3"/>
    <x v="2"/>
  </r>
  <r>
    <d v="2024-02-16T00:00:00"/>
    <x v="0"/>
    <x v="4"/>
    <x v="2"/>
    <n v="30"/>
    <n v="44"/>
    <n v="100"/>
    <n v="55"/>
    <n v="4400"/>
    <n v="2420"/>
    <n v="1980"/>
    <x v="6"/>
    <x v="3"/>
    <x v="2"/>
  </r>
  <r>
    <d v="2024-09-03T00:00:00"/>
    <x v="3"/>
    <x v="0"/>
    <x v="2"/>
    <n v="26"/>
    <n v="55"/>
    <n v="110"/>
    <n v="60"/>
    <n v="6050"/>
    <n v="3300"/>
    <n v="2750"/>
    <x v="5"/>
    <x v="1"/>
    <x v="2"/>
  </r>
  <r>
    <d v="2024-12-03T00:00:00"/>
    <x v="0"/>
    <x v="4"/>
    <x v="1"/>
    <n v="18"/>
    <n v="28"/>
    <n v="100"/>
    <n v="55"/>
    <n v="2800"/>
    <n v="1540"/>
    <n v="1260"/>
    <x v="3"/>
    <x v="2"/>
    <x v="3"/>
  </r>
  <r>
    <d v="2024-03-16T00:00:00"/>
    <x v="0"/>
    <x v="4"/>
    <x v="2"/>
    <n v="41"/>
    <n v="104"/>
    <n v="100"/>
    <n v="55"/>
    <n v="10400"/>
    <n v="5720"/>
    <n v="4680"/>
    <x v="8"/>
    <x v="3"/>
    <x v="0"/>
  </r>
  <r>
    <d v="2024-12-20T00:00:00"/>
    <x v="1"/>
    <x v="2"/>
    <x v="0"/>
    <n v="21"/>
    <n v="55"/>
    <n v="130"/>
    <n v="70"/>
    <n v="7150"/>
    <n v="3850"/>
    <n v="3300"/>
    <x v="3"/>
    <x v="2"/>
    <x v="3"/>
  </r>
  <r>
    <d v="2024-07-07T00:00:00"/>
    <x v="2"/>
    <x v="0"/>
    <x v="2"/>
    <n v="33"/>
    <n v="109"/>
    <n v="110"/>
    <n v="60"/>
    <n v="11990"/>
    <n v="6540"/>
    <n v="5450"/>
    <x v="2"/>
    <x v="1"/>
    <x v="1"/>
  </r>
  <r>
    <d v="2024-06-05T00:00:00"/>
    <x v="1"/>
    <x v="5"/>
    <x v="2"/>
    <n v="40"/>
    <n v="120"/>
    <n v="100"/>
    <n v="55"/>
    <n v="12000"/>
    <n v="6600"/>
    <n v="5400"/>
    <x v="11"/>
    <x v="0"/>
    <x v="0"/>
  </r>
  <r>
    <d v="2024-11-29T00:00:00"/>
    <x v="0"/>
    <x v="3"/>
    <x v="2"/>
    <n v="26"/>
    <n v="35"/>
    <n v="90"/>
    <n v="50"/>
    <n v="3150"/>
    <n v="1750"/>
    <n v="1400"/>
    <x v="4"/>
    <x v="2"/>
    <x v="2"/>
  </r>
  <r>
    <d v="2024-10-27T00:00:00"/>
    <x v="0"/>
    <x v="5"/>
    <x v="0"/>
    <n v="27"/>
    <n v="55"/>
    <n v="100"/>
    <n v="55"/>
    <n v="5500"/>
    <n v="3025"/>
    <n v="2475"/>
    <x v="9"/>
    <x v="2"/>
    <x v="2"/>
  </r>
  <r>
    <d v="2024-04-17T00:00:00"/>
    <x v="3"/>
    <x v="5"/>
    <x v="0"/>
    <n v="39"/>
    <n v="62"/>
    <n v="100"/>
    <n v="55"/>
    <n v="6200"/>
    <n v="3410"/>
    <n v="2790"/>
    <x v="0"/>
    <x v="0"/>
    <x v="0"/>
  </r>
  <r>
    <d v="2024-04-07T00:00:00"/>
    <x v="2"/>
    <x v="0"/>
    <x v="2"/>
    <n v="41"/>
    <n v="115"/>
    <n v="110"/>
    <n v="60"/>
    <n v="12650"/>
    <n v="6900"/>
    <n v="5750"/>
    <x v="0"/>
    <x v="0"/>
    <x v="0"/>
  </r>
  <r>
    <d v="2024-03-27T00:00:00"/>
    <x v="1"/>
    <x v="1"/>
    <x v="0"/>
    <n v="33"/>
    <n v="173"/>
    <n v="80"/>
    <n v="45"/>
    <n v="13840"/>
    <n v="7785"/>
    <n v="6055"/>
    <x v="8"/>
    <x v="3"/>
    <x v="1"/>
  </r>
  <r>
    <d v="2024-03-24T00:00:00"/>
    <x v="3"/>
    <x v="4"/>
    <x v="2"/>
    <n v="33"/>
    <n v="89"/>
    <n v="100"/>
    <n v="55"/>
    <n v="8900"/>
    <n v="4895"/>
    <n v="4005"/>
    <x v="8"/>
    <x v="3"/>
    <x v="1"/>
  </r>
  <r>
    <d v="2024-04-09T00:00:00"/>
    <x v="0"/>
    <x v="5"/>
    <x v="1"/>
    <n v="35"/>
    <n v="183"/>
    <n v="100"/>
    <n v="55"/>
    <n v="18300"/>
    <n v="10065"/>
    <n v="8235"/>
    <x v="0"/>
    <x v="0"/>
    <x v="1"/>
  </r>
  <r>
    <d v="2024-10-04T00:00:00"/>
    <x v="3"/>
    <x v="1"/>
    <x v="0"/>
    <n v="33"/>
    <n v="80"/>
    <n v="80"/>
    <n v="45"/>
    <n v="6400"/>
    <n v="3600"/>
    <n v="2800"/>
    <x v="9"/>
    <x v="2"/>
    <x v="1"/>
  </r>
  <r>
    <d v="2024-03-11T00:00:00"/>
    <x v="2"/>
    <x v="3"/>
    <x v="2"/>
    <n v="36"/>
    <n v="102"/>
    <n v="90"/>
    <n v="50"/>
    <n v="9180"/>
    <n v="5100"/>
    <n v="4080"/>
    <x v="8"/>
    <x v="3"/>
    <x v="0"/>
  </r>
  <r>
    <d v="2024-10-30T00:00:00"/>
    <x v="1"/>
    <x v="5"/>
    <x v="2"/>
    <n v="30"/>
    <n v="32"/>
    <n v="100"/>
    <n v="55"/>
    <n v="3200"/>
    <n v="1760"/>
    <n v="1440"/>
    <x v="9"/>
    <x v="2"/>
    <x v="2"/>
  </r>
  <r>
    <d v="2024-01-23T00:00:00"/>
    <x v="0"/>
    <x v="0"/>
    <x v="2"/>
    <n v="18"/>
    <n v="15"/>
    <n v="110"/>
    <n v="60"/>
    <n v="1650"/>
    <n v="900"/>
    <n v="750"/>
    <x v="10"/>
    <x v="3"/>
    <x v="3"/>
  </r>
  <r>
    <d v="2024-06-02T00:00:00"/>
    <x v="0"/>
    <x v="1"/>
    <x v="0"/>
    <n v="41"/>
    <n v="121"/>
    <n v="80"/>
    <n v="45"/>
    <n v="9680"/>
    <n v="5445"/>
    <n v="4235"/>
    <x v="11"/>
    <x v="0"/>
    <x v="0"/>
  </r>
  <r>
    <d v="2024-02-04T00:00:00"/>
    <x v="0"/>
    <x v="5"/>
    <x v="0"/>
    <n v="32"/>
    <n v="67"/>
    <n v="100"/>
    <n v="55"/>
    <n v="6700"/>
    <n v="3685"/>
    <n v="3015"/>
    <x v="6"/>
    <x v="3"/>
    <x v="1"/>
  </r>
  <r>
    <d v="2024-08-25T00:00:00"/>
    <x v="3"/>
    <x v="3"/>
    <x v="2"/>
    <n v="28"/>
    <n v="96"/>
    <n v="90"/>
    <n v="50"/>
    <n v="8640"/>
    <n v="4800"/>
    <n v="3840"/>
    <x v="7"/>
    <x v="1"/>
    <x v="2"/>
  </r>
  <r>
    <d v="2024-09-13T00:00:00"/>
    <x v="1"/>
    <x v="3"/>
    <x v="2"/>
    <n v="27"/>
    <n v="33"/>
    <n v="90"/>
    <n v="50"/>
    <n v="2970"/>
    <n v="1650"/>
    <n v="1320"/>
    <x v="5"/>
    <x v="1"/>
    <x v="2"/>
  </r>
  <r>
    <d v="2024-07-15T00:00:00"/>
    <x v="0"/>
    <x v="1"/>
    <x v="0"/>
    <n v="33"/>
    <n v="35"/>
    <n v="80"/>
    <n v="45"/>
    <n v="2800"/>
    <n v="1575"/>
    <n v="1225"/>
    <x v="2"/>
    <x v="1"/>
    <x v="1"/>
  </r>
  <r>
    <d v="2024-05-04T00:00:00"/>
    <x v="1"/>
    <x v="0"/>
    <x v="0"/>
    <n v="33"/>
    <n v="122"/>
    <n v="110"/>
    <n v="60"/>
    <n v="13420"/>
    <n v="7320"/>
    <n v="6100"/>
    <x v="1"/>
    <x v="0"/>
    <x v="1"/>
  </r>
  <r>
    <d v="2024-01-08T00:00:00"/>
    <x v="0"/>
    <x v="5"/>
    <x v="0"/>
    <n v="21"/>
    <n v="30"/>
    <n v="100"/>
    <n v="55"/>
    <n v="3000"/>
    <n v="1650"/>
    <n v="1350"/>
    <x v="10"/>
    <x v="3"/>
    <x v="3"/>
  </r>
  <r>
    <d v="2024-04-21T00:00:00"/>
    <x v="0"/>
    <x v="1"/>
    <x v="2"/>
    <n v="37"/>
    <n v="63"/>
    <n v="80"/>
    <n v="45"/>
    <n v="5040"/>
    <n v="2835"/>
    <n v="2205"/>
    <x v="0"/>
    <x v="0"/>
    <x v="0"/>
  </r>
  <r>
    <d v="2024-08-29T00:00:00"/>
    <x v="2"/>
    <x v="5"/>
    <x v="2"/>
    <n v="29"/>
    <n v="68"/>
    <n v="100"/>
    <n v="55"/>
    <n v="6800"/>
    <n v="3740"/>
    <n v="3060"/>
    <x v="7"/>
    <x v="1"/>
    <x v="2"/>
  </r>
  <r>
    <d v="2024-08-03T00:00:00"/>
    <x v="0"/>
    <x v="5"/>
    <x v="0"/>
    <n v="31"/>
    <n v="67"/>
    <n v="100"/>
    <n v="55"/>
    <n v="6700"/>
    <n v="3685"/>
    <n v="3015"/>
    <x v="7"/>
    <x v="1"/>
    <x v="1"/>
  </r>
  <r>
    <d v="2024-07-07T00:00:00"/>
    <x v="0"/>
    <x v="5"/>
    <x v="1"/>
    <n v="26"/>
    <n v="35"/>
    <n v="100"/>
    <n v="55"/>
    <n v="3500"/>
    <n v="1925"/>
    <n v="1575"/>
    <x v="2"/>
    <x v="1"/>
    <x v="2"/>
  </r>
  <r>
    <d v="2024-02-20T00:00:00"/>
    <x v="2"/>
    <x v="0"/>
    <x v="2"/>
    <n v="30"/>
    <n v="101"/>
    <n v="110"/>
    <n v="60"/>
    <n v="11110"/>
    <n v="6060"/>
    <n v="5050"/>
    <x v="6"/>
    <x v="3"/>
    <x v="2"/>
  </r>
  <r>
    <d v="2024-09-04T00:00:00"/>
    <x v="0"/>
    <x v="1"/>
    <x v="2"/>
    <n v="27"/>
    <n v="62"/>
    <n v="80"/>
    <n v="45"/>
    <n v="4960"/>
    <n v="2790"/>
    <n v="2170"/>
    <x v="5"/>
    <x v="1"/>
    <x v="2"/>
  </r>
  <r>
    <d v="2024-08-07T00:00:00"/>
    <x v="3"/>
    <x v="1"/>
    <x v="2"/>
    <n v="34"/>
    <n v="56"/>
    <n v="80"/>
    <n v="45"/>
    <n v="4480"/>
    <n v="2520"/>
    <n v="1960"/>
    <x v="7"/>
    <x v="1"/>
    <x v="1"/>
  </r>
  <r>
    <d v="2024-06-28T00:00:00"/>
    <x v="3"/>
    <x v="5"/>
    <x v="2"/>
    <n v="33"/>
    <n v="72"/>
    <n v="100"/>
    <n v="55"/>
    <n v="7200"/>
    <n v="3960"/>
    <n v="3240"/>
    <x v="11"/>
    <x v="0"/>
    <x v="1"/>
  </r>
  <r>
    <d v="2024-02-26T00:00:00"/>
    <x v="3"/>
    <x v="1"/>
    <x v="2"/>
    <n v="32"/>
    <n v="93"/>
    <n v="80"/>
    <n v="45"/>
    <n v="7440"/>
    <n v="4185"/>
    <n v="3255"/>
    <x v="6"/>
    <x v="3"/>
    <x v="1"/>
  </r>
  <r>
    <d v="2024-08-19T00:00:00"/>
    <x v="0"/>
    <x v="2"/>
    <x v="2"/>
    <n v="28"/>
    <n v="64"/>
    <n v="130"/>
    <n v="70"/>
    <n v="8320"/>
    <n v="4480"/>
    <n v="3840"/>
    <x v="7"/>
    <x v="1"/>
    <x v="2"/>
  </r>
  <r>
    <d v="2024-09-02T00:00:00"/>
    <x v="2"/>
    <x v="0"/>
    <x v="0"/>
    <n v="30"/>
    <n v="59"/>
    <n v="110"/>
    <n v="60"/>
    <n v="6490"/>
    <n v="3540"/>
    <n v="2950"/>
    <x v="5"/>
    <x v="1"/>
    <x v="2"/>
  </r>
  <r>
    <d v="2024-12-08T00:00:00"/>
    <x v="3"/>
    <x v="0"/>
    <x v="1"/>
    <n v="18"/>
    <n v="45"/>
    <n v="110"/>
    <n v="60"/>
    <n v="4950"/>
    <n v="2700"/>
    <n v="2250"/>
    <x v="3"/>
    <x v="2"/>
    <x v="3"/>
  </r>
  <r>
    <d v="2024-01-13T00:00:00"/>
    <x v="0"/>
    <x v="0"/>
    <x v="0"/>
    <n v="20"/>
    <n v="46"/>
    <n v="110"/>
    <n v="60"/>
    <n v="5060"/>
    <n v="2760"/>
    <n v="2300"/>
    <x v="10"/>
    <x v="3"/>
    <x v="3"/>
  </r>
  <r>
    <d v="2024-10-05T00:00:00"/>
    <x v="0"/>
    <x v="5"/>
    <x v="2"/>
    <n v="30"/>
    <n v="63"/>
    <n v="100"/>
    <n v="55"/>
    <n v="6300"/>
    <n v="3465"/>
    <n v="2835"/>
    <x v="9"/>
    <x v="2"/>
    <x v="2"/>
  </r>
  <r>
    <d v="2024-01-18T00:00:00"/>
    <x v="1"/>
    <x v="2"/>
    <x v="0"/>
    <n v="20"/>
    <n v="22"/>
    <n v="130"/>
    <n v="70"/>
    <n v="2860"/>
    <n v="1540"/>
    <n v="1320"/>
    <x v="10"/>
    <x v="3"/>
    <x v="3"/>
  </r>
  <r>
    <d v="2024-10-11T00:00:00"/>
    <x v="2"/>
    <x v="1"/>
    <x v="2"/>
    <n v="27"/>
    <n v="105"/>
    <n v="80"/>
    <n v="45"/>
    <n v="8400"/>
    <n v="4725"/>
    <n v="3675"/>
    <x v="9"/>
    <x v="2"/>
    <x v="2"/>
  </r>
  <r>
    <d v="2024-04-17T00:00:00"/>
    <x v="2"/>
    <x v="2"/>
    <x v="0"/>
    <n v="36"/>
    <n v="51"/>
    <n v="130"/>
    <n v="70"/>
    <n v="6630"/>
    <n v="3570"/>
    <n v="3060"/>
    <x v="0"/>
    <x v="0"/>
    <x v="0"/>
  </r>
  <r>
    <d v="2024-10-08T00:00:00"/>
    <x v="0"/>
    <x v="4"/>
    <x v="2"/>
    <n v="34"/>
    <n v="89"/>
    <n v="100"/>
    <n v="55"/>
    <n v="8900"/>
    <n v="4895"/>
    <n v="4005"/>
    <x v="9"/>
    <x v="2"/>
    <x v="1"/>
  </r>
  <r>
    <d v="2024-02-01T00:00:00"/>
    <x v="2"/>
    <x v="1"/>
    <x v="2"/>
    <n v="34"/>
    <n v="81"/>
    <n v="80"/>
    <n v="45"/>
    <n v="6480"/>
    <n v="3645"/>
    <n v="2835"/>
    <x v="6"/>
    <x v="3"/>
    <x v="1"/>
  </r>
  <r>
    <d v="2024-06-29T00:00:00"/>
    <x v="3"/>
    <x v="5"/>
    <x v="2"/>
    <n v="39"/>
    <n v="56"/>
    <n v="100"/>
    <n v="55"/>
    <n v="5600"/>
    <n v="3080"/>
    <n v="2520"/>
    <x v="11"/>
    <x v="0"/>
    <x v="0"/>
  </r>
  <r>
    <d v="2024-12-20T00:00:00"/>
    <x v="0"/>
    <x v="5"/>
    <x v="0"/>
    <n v="21"/>
    <n v="10"/>
    <n v="100"/>
    <n v="55"/>
    <n v="1000"/>
    <n v="550"/>
    <n v="450"/>
    <x v="3"/>
    <x v="2"/>
    <x v="3"/>
  </r>
  <r>
    <d v="2024-01-11T00:00:00"/>
    <x v="3"/>
    <x v="0"/>
    <x v="1"/>
    <n v="18"/>
    <n v="30"/>
    <n v="110"/>
    <n v="60"/>
    <n v="3300"/>
    <n v="1800"/>
    <n v="1500"/>
    <x v="10"/>
    <x v="3"/>
    <x v="3"/>
  </r>
  <r>
    <d v="2024-08-06T00:00:00"/>
    <x v="0"/>
    <x v="4"/>
    <x v="1"/>
    <n v="29"/>
    <n v="90"/>
    <n v="100"/>
    <n v="55"/>
    <n v="9000"/>
    <n v="4950"/>
    <n v="4050"/>
    <x v="7"/>
    <x v="1"/>
    <x v="2"/>
  </r>
  <r>
    <d v="2024-04-13T00:00:00"/>
    <x v="0"/>
    <x v="3"/>
    <x v="2"/>
    <n v="41"/>
    <n v="189"/>
    <n v="90"/>
    <n v="50"/>
    <n v="17010"/>
    <n v="9450"/>
    <n v="7560"/>
    <x v="0"/>
    <x v="0"/>
    <x v="0"/>
  </r>
  <r>
    <d v="2024-12-22T00:00:00"/>
    <x v="0"/>
    <x v="5"/>
    <x v="0"/>
    <n v="23"/>
    <n v="14"/>
    <n v="100"/>
    <n v="55"/>
    <n v="1400"/>
    <n v="770"/>
    <n v="630"/>
    <x v="3"/>
    <x v="2"/>
    <x v="3"/>
  </r>
  <r>
    <d v="2024-08-31T00:00:00"/>
    <x v="3"/>
    <x v="5"/>
    <x v="2"/>
    <n v="32"/>
    <n v="106"/>
    <n v="100"/>
    <n v="55"/>
    <n v="10600"/>
    <n v="5830"/>
    <n v="4770"/>
    <x v="7"/>
    <x v="1"/>
    <x v="1"/>
  </r>
  <r>
    <d v="2024-04-15T00:00:00"/>
    <x v="3"/>
    <x v="5"/>
    <x v="2"/>
    <n v="36"/>
    <n v="117"/>
    <n v="100"/>
    <n v="55"/>
    <n v="11700"/>
    <n v="6435"/>
    <n v="5265"/>
    <x v="0"/>
    <x v="0"/>
    <x v="0"/>
  </r>
  <r>
    <d v="2024-02-02T00:00:00"/>
    <x v="1"/>
    <x v="1"/>
    <x v="1"/>
    <n v="34"/>
    <n v="80"/>
    <n v="80"/>
    <n v="45"/>
    <n v="6400"/>
    <n v="3600"/>
    <n v="2800"/>
    <x v="6"/>
    <x v="3"/>
    <x v="1"/>
  </r>
  <r>
    <d v="2024-05-22T00:00:00"/>
    <x v="0"/>
    <x v="0"/>
    <x v="2"/>
    <n v="41"/>
    <n v="100"/>
    <n v="110"/>
    <n v="60"/>
    <n v="11000"/>
    <n v="6000"/>
    <n v="5000"/>
    <x v="1"/>
    <x v="0"/>
    <x v="0"/>
  </r>
  <r>
    <d v="2024-01-04T00:00:00"/>
    <x v="0"/>
    <x v="2"/>
    <x v="2"/>
    <n v="19"/>
    <n v="32"/>
    <n v="130"/>
    <n v="70"/>
    <n v="4160"/>
    <n v="2240"/>
    <n v="1920"/>
    <x v="10"/>
    <x v="3"/>
    <x v="3"/>
  </r>
  <r>
    <d v="2024-04-10T00:00:00"/>
    <x v="3"/>
    <x v="5"/>
    <x v="2"/>
    <n v="40"/>
    <n v="112"/>
    <n v="100"/>
    <n v="55"/>
    <n v="11200"/>
    <n v="6160"/>
    <n v="5040"/>
    <x v="0"/>
    <x v="0"/>
    <x v="0"/>
  </r>
  <r>
    <d v="2024-08-13T00:00:00"/>
    <x v="2"/>
    <x v="0"/>
    <x v="0"/>
    <n v="27"/>
    <n v="74"/>
    <n v="110"/>
    <n v="60"/>
    <n v="8140"/>
    <n v="4440"/>
    <n v="3700"/>
    <x v="7"/>
    <x v="1"/>
    <x v="2"/>
  </r>
  <r>
    <d v="2024-07-25T00:00:00"/>
    <x v="3"/>
    <x v="5"/>
    <x v="2"/>
    <n v="32"/>
    <n v="30"/>
    <n v="100"/>
    <n v="55"/>
    <n v="3000"/>
    <n v="1650"/>
    <n v="1350"/>
    <x v="2"/>
    <x v="1"/>
    <x v="1"/>
  </r>
  <r>
    <d v="2024-12-17T00:00:00"/>
    <x v="2"/>
    <x v="5"/>
    <x v="2"/>
    <n v="27"/>
    <n v="44"/>
    <n v="100"/>
    <n v="55"/>
    <n v="4400"/>
    <n v="2420"/>
    <n v="1980"/>
    <x v="3"/>
    <x v="2"/>
    <x v="2"/>
  </r>
  <r>
    <d v="2024-09-02T00:00:00"/>
    <x v="2"/>
    <x v="1"/>
    <x v="0"/>
    <n v="29"/>
    <n v="51"/>
    <n v="80"/>
    <n v="45"/>
    <n v="4080"/>
    <n v="2295"/>
    <n v="1785"/>
    <x v="5"/>
    <x v="1"/>
    <x v="2"/>
  </r>
  <r>
    <d v="2024-02-28T00:00:00"/>
    <x v="2"/>
    <x v="5"/>
    <x v="2"/>
    <n v="33"/>
    <n v="60"/>
    <n v="100"/>
    <n v="55"/>
    <n v="6000"/>
    <n v="3300"/>
    <n v="2700"/>
    <x v="6"/>
    <x v="3"/>
    <x v="1"/>
  </r>
  <r>
    <d v="2024-02-17T00:00:00"/>
    <x v="2"/>
    <x v="5"/>
    <x v="1"/>
    <n v="34"/>
    <n v="109"/>
    <n v="100"/>
    <n v="55"/>
    <n v="10900"/>
    <n v="5995"/>
    <n v="4905"/>
    <x v="6"/>
    <x v="3"/>
    <x v="1"/>
  </r>
  <r>
    <d v="2024-01-27T00:00:00"/>
    <x v="2"/>
    <x v="5"/>
    <x v="2"/>
    <n v="20"/>
    <n v="45"/>
    <n v="100"/>
    <n v="55"/>
    <n v="4500"/>
    <n v="2475"/>
    <n v="2025"/>
    <x v="10"/>
    <x v="3"/>
    <x v="3"/>
  </r>
  <r>
    <d v="2024-08-01T00:00:00"/>
    <x v="3"/>
    <x v="0"/>
    <x v="1"/>
    <n v="32"/>
    <n v="78"/>
    <n v="110"/>
    <n v="60"/>
    <n v="8580"/>
    <n v="4680"/>
    <n v="3900"/>
    <x v="7"/>
    <x v="1"/>
    <x v="1"/>
  </r>
  <r>
    <d v="2024-11-07T00:00:00"/>
    <x v="3"/>
    <x v="0"/>
    <x v="2"/>
    <n v="24"/>
    <n v="29"/>
    <n v="110"/>
    <n v="60"/>
    <n v="3190"/>
    <n v="1740"/>
    <n v="1450"/>
    <x v="4"/>
    <x v="2"/>
    <x v="3"/>
  </r>
  <r>
    <d v="2024-06-04T00:00:00"/>
    <x v="2"/>
    <x v="5"/>
    <x v="0"/>
    <n v="34"/>
    <n v="86"/>
    <n v="100"/>
    <n v="55"/>
    <n v="8600"/>
    <n v="4730"/>
    <n v="3870"/>
    <x v="11"/>
    <x v="0"/>
    <x v="1"/>
  </r>
  <r>
    <d v="2024-02-14T00:00:00"/>
    <x v="0"/>
    <x v="1"/>
    <x v="2"/>
    <n v="28"/>
    <n v="81"/>
    <n v="80"/>
    <n v="45"/>
    <n v="6480"/>
    <n v="3645"/>
    <n v="2835"/>
    <x v="6"/>
    <x v="3"/>
    <x v="2"/>
  </r>
  <r>
    <d v="2024-12-30T00:00:00"/>
    <x v="0"/>
    <x v="1"/>
    <x v="2"/>
    <n v="19"/>
    <n v="43"/>
    <n v="80"/>
    <n v="45"/>
    <n v="3440"/>
    <n v="1935"/>
    <n v="1505"/>
    <x v="3"/>
    <x v="2"/>
    <x v="3"/>
  </r>
  <r>
    <d v="2024-11-20T00:00:00"/>
    <x v="2"/>
    <x v="1"/>
    <x v="2"/>
    <n v="22"/>
    <n v="48"/>
    <n v="80"/>
    <n v="45"/>
    <n v="3840"/>
    <n v="2160"/>
    <n v="1680"/>
    <x v="4"/>
    <x v="2"/>
    <x v="3"/>
  </r>
  <r>
    <d v="2024-01-10T00:00:00"/>
    <x v="3"/>
    <x v="0"/>
    <x v="2"/>
    <n v="18"/>
    <n v="17"/>
    <n v="110"/>
    <n v="60"/>
    <n v="1870"/>
    <n v="1020"/>
    <n v="850"/>
    <x v="10"/>
    <x v="3"/>
    <x v="3"/>
  </r>
  <r>
    <d v="2024-04-01T00:00:00"/>
    <x v="1"/>
    <x v="2"/>
    <x v="0"/>
    <n v="40"/>
    <n v="98"/>
    <n v="130"/>
    <n v="70"/>
    <n v="12740"/>
    <n v="6860"/>
    <n v="5880"/>
    <x v="0"/>
    <x v="0"/>
    <x v="0"/>
  </r>
  <r>
    <d v="2024-05-24T00:00:00"/>
    <x v="0"/>
    <x v="0"/>
    <x v="2"/>
    <n v="37"/>
    <n v="89"/>
    <n v="110"/>
    <n v="60"/>
    <n v="9790"/>
    <n v="5340"/>
    <n v="4450"/>
    <x v="1"/>
    <x v="0"/>
    <x v="0"/>
  </r>
  <r>
    <d v="2024-06-19T00:00:00"/>
    <x v="1"/>
    <x v="1"/>
    <x v="2"/>
    <n v="39"/>
    <n v="127"/>
    <n v="80"/>
    <n v="45"/>
    <n v="10160"/>
    <n v="5715"/>
    <n v="4445"/>
    <x v="11"/>
    <x v="0"/>
    <x v="0"/>
  </r>
  <r>
    <d v="2024-04-06T00:00:00"/>
    <x v="1"/>
    <x v="3"/>
    <x v="1"/>
    <n v="41"/>
    <n v="157"/>
    <n v="90"/>
    <n v="50"/>
    <n v="14130"/>
    <n v="7850"/>
    <n v="628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tMonthly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Month">
  <location ref="A4:C18" firstHeaderRow="1" firstDataRow="2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>
      <items count="13">
        <item x="10"/>
        <item x="6"/>
        <item x="8"/>
        <item x="0"/>
        <item x="1"/>
        <item x="11"/>
        <item x="2"/>
        <item x="7"/>
        <item x="5"/>
        <item x="9"/>
        <item x="4"/>
        <item x="3"/>
        <item t="default"/>
      </items>
    </pivotField>
    <pivotField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INR)" fld="8" baseField="0" baseItem="0" numFmtId="3"/>
    <dataField name="Profit (INR)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tFlavourValu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Flavour">
  <location ref="A4:C12" firstHeaderRow="1" firstDataRow="2" firstDataCol="1"/>
  <pivotFields count="14">
    <pivotField numFmtId="14" showAll="0"/>
    <pivotField showAll="0"/>
    <pivotField axis="axisRow" showAll="0">
      <items count="7">
        <item x="5"/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INR)" fld="8" baseField="0" baseItem="0" numFmtId="3"/>
    <dataField name="Profit (INR)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tFlavourVolume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Flavour">
  <location ref="A4:B11" firstHeaderRow="1" firstDataRow="1" firstDataCol="1"/>
  <pivotFields count="14">
    <pivotField numFmtId="14"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Units Sold" fld="5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ptCity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ity">
  <location ref="A4:C10" firstHeaderRow="1" firstDataRow="2" firstDataCol="1"/>
  <pivotFields count="14">
    <pivotField numFmtId="1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(INR)" fld="8" baseField="0" baseItem="0" numFmtId="3"/>
    <dataField name="Profit (INR)" fld="10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ptCityFlavour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ity" colHeaderCaption="Flavour">
  <location ref="A4:H10" firstHeaderRow="1" firstDataRow="2" firstDataCol="1"/>
  <pivotFields count="14">
    <pivotField numFmtId="14" showAll="0"/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7">
        <item x="5"/>
        <item x="1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Revenue (INR)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5000000}" name="ptChannel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Channel">
  <location ref="A4:B8" firstHeaderRow="1" firstDataRow="1" firstDataCol="1"/>
  <pivotFields count="14">
    <pivotField numFmtId="14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 (INR)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ptQtrChannel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Quarter" colHeaderCaption="Channel">
  <location ref="A4:E10" firstHeaderRow="1" firstDataRow="2" firstDataCol="1"/>
  <pivotFields count="14">
    <pivotField numFmtId="14"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Revenue (INR)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7000000}" name="ptTemp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Temperature band">
  <location ref="A4:B9" firstHeaderRow="1" firstDataRow="1" firstDataCol="1"/>
  <pivotFields count="14"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Units per Transaction" fld="5" subtotal="average" baseField="0" baseItem="0" numFmtId="2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1:M45"/>
  <sheetViews>
    <sheetView showGridLines="0" workbookViewId="0"/>
  </sheetViews>
  <sheetFormatPr defaultRowHeight="15"/>
  <cols>
    <col min="1" max="1" width="3" customWidth="1"/>
    <col min="2" max="2" width="5" customWidth="1"/>
    <col min="3" max="13" width="14" customWidth="1"/>
    <col min="14" max="14" width="3" customWidth="1"/>
  </cols>
  <sheetData>
    <row r="1" spans="2:13" ht="30" customHeight="1">
      <c r="B1" s="36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2:13">
      <c r="B2" s="21" t="s">
        <v>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2:13">
      <c r="B4" s="30" t="s">
        <v>2</v>
      </c>
      <c r="C4" s="29"/>
      <c r="D4" s="30" t="s">
        <v>3</v>
      </c>
      <c r="E4" s="29"/>
      <c r="F4" s="30" t="s">
        <v>4</v>
      </c>
      <c r="G4" s="29"/>
      <c r="H4" s="30" t="s">
        <v>5</v>
      </c>
      <c r="I4" s="29"/>
      <c r="J4" s="30" t="s">
        <v>6</v>
      </c>
      <c r="K4" s="29"/>
      <c r="L4" s="30" t="s">
        <v>7</v>
      </c>
      <c r="M4" s="29"/>
    </row>
    <row r="5" spans="2:13" ht="30" customHeight="1">
      <c r="B5" s="35">
        <f>SUM(Clean_Data!I2:I1001)</f>
        <v>7789500</v>
      </c>
      <c r="C5" s="29"/>
      <c r="D5" s="35">
        <f>SUM(Clean_Data!K2:K1001)</f>
        <v>3497485</v>
      </c>
      <c r="E5" s="29"/>
      <c r="F5" s="34">
        <f>SUM(Clean_Data!K2:K1001)/SUM(Clean_Data!I2:I1001)</f>
        <v>0.44899993581102765</v>
      </c>
      <c r="G5" s="29"/>
      <c r="H5" s="35">
        <f>SUM(Clean_Data!F2:F1001)</f>
        <v>79453</v>
      </c>
      <c r="I5" s="29"/>
      <c r="J5" s="35">
        <f>COUNTA(Clean_Data!B2:B1001)</f>
        <v>1000</v>
      </c>
      <c r="K5" s="29"/>
      <c r="L5" s="28">
        <f>SUM(Clean_Data!F2:F1001)/COUNTA(Clean_Data!B2:B1001)</f>
        <v>79.453000000000003</v>
      </c>
      <c r="M5" s="29"/>
    </row>
    <row r="7" spans="2:13" ht="21.95" customHeight="1">
      <c r="B7" s="24" t="s">
        <v>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2:13">
      <c r="B8" s="14" t="s">
        <v>9</v>
      </c>
      <c r="C8" s="32" t="s">
        <v>10</v>
      </c>
      <c r="D8" s="33"/>
      <c r="E8" s="33"/>
      <c r="F8" s="32" t="s">
        <v>11</v>
      </c>
      <c r="G8" s="33"/>
      <c r="H8" s="33"/>
      <c r="I8" s="33"/>
      <c r="J8" s="32" t="s">
        <v>12</v>
      </c>
      <c r="K8" s="33"/>
      <c r="L8" s="33"/>
      <c r="M8" s="33"/>
    </row>
    <row r="9" spans="2:13" ht="66" customHeight="1">
      <c r="B9" s="15">
        <v>1</v>
      </c>
      <c r="C9" s="31" t="s">
        <v>13</v>
      </c>
      <c r="D9" s="27"/>
      <c r="E9" s="27"/>
      <c r="F9" s="26" t="s">
        <v>14</v>
      </c>
      <c r="G9" s="27"/>
      <c r="H9" s="27"/>
      <c r="I9" s="27"/>
      <c r="J9" s="26" t="s">
        <v>15</v>
      </c>
      <c r="K9" s="27"/>
      <c r="L9" s="27"/>
      <c r="M9" s="27"/>
    </row>
    <row r="10" spans="2:13" ht="51" customHeight="1">
      <c r="B10" s="15">
        <v>2</v>
      </c>
      <c r="C10" s="31" t="s">
        <v>16</v>
      </c>
      <c r="D10" s="27"/>
      <c r="E10" s="27"/>
      <c r="F10" s="26" t="s">
        <v>17</v>
      </c>
      <c r="G10" s="27"/>
      <c r="H10" s="27"/>
      <c r="I10" s="27"/>
      <c r="J10" s="26" t="s">
        <v>18</v>
      </c>
      <c r="K10" s="27"/>
      <c r="L10" s="27"/>
      <c r="M10" s="27"/>
    </row>
    <row r="11" spans="2:13" ht="81" customHeight="1">
      <c r="B11" s="15">
        <v>3</v>
      </c>
      <c r="C11" s="31" t="s">
        <v>19</v>
      </c>
      <c r="D11" s="27"/>
      <c r="E11" s="27"/>
      <c r="F11" s="26" t="s">
        <v>20</v>
      </c>
      <c r="G11" s="27"/>
      <c r="H11" s="27"/>
      <c r="I11" s="27"/>
      <c r="J11" s="26" t="s">
        <v>21</v>
      </c>
      <c r="K11" s="27"/>
      <c r="L11" s="27"/>
      <c r="M11" s="27"/>
    </row>
    <row r="12" spans="2:13" ht="66" customHeight="1">
      <c r="B12" s="15">
        <v>4</v>
      </c>
      <c r="C12" s="31" t="s">
        <v>22</v>
      </c>
      <c r="D12" s="27"/>
      <c r="E12" s="27"/>
      <c r="F12" s="26" t="s">
        <v>23</v>
      </c>
      <c r="G12" s="27"/>
      <c r="H12" s="27"/>
      <c r="I12" s="27"/>
      <c r="J12" s="26" t="s">
        <v>24</v>
      </c>
      <c r="K12" s="27"/>
      <c r="L12" s="27"/>
      <c r="M12" s="27"/>
    </row>
    <row r="13" spans="2:13" ht="66" customHeight="1">
      <c r="B13" s="15">
        <v>5</v>
      </c>
      <c r="C13" s="31" t="s">
        <v>25</v>
      </c>
      <c r="D13" s="27"/>
      <c r="E13" s="27"/>
      <c r="F13" s="26" t="s">
        <v>26</v>
      </c>
      <c r="G13" s="27"/>
      <c r="H13" s="27"/>
      <c r="I13" s="27"/>
      <c r="J13" s="26" t="s">
        <v>27</v>
      </c>
      <c r="K13" s="27"/>
      <c r="L13" s="27"/>
      <c r="M13" s="27"/>
    </row>
    <row r="14" spans="2:13" ht="96" customHeight="1">
      <c r="B14" s="15">
        <v>6</v>
      </c>
      <c r="C14" s="31" t="s">
        <v>28</v>
      </c>
      <c r="D14" s="27"/>
      <c r="E14" s="27"/>
      <c r="F14" s="26" t="s">
        <v>29</v>
      </c>
      <c r="G14" s="27"/>
      <c r="H14" s="27"/>
      <c r="I14" s="27"/>
      <c r="J14" s="26" t="s">
        <v>30</v>
      </c>
      <c r="K14" s="27"/>
      <c r="L14" s="27"/>
      <c r="M14" s="27"/>
    </row>
    <row r="15" spans="2:13" ht="66" customHeight="1">
      <c r="B15" s="15">
        <v>7</v>
      </c>
      <c r="C15" s="31" t="s">
        <v>31</v>
      </c>
      <c r="D15" s="27"/>
      <c r="E15" s="27"/>
      <c r="F15" s="26" t="s">
        <v>32</v>
      </c>
      <c r="G15" s="27"/>
      <c r="H15" s="27"/>
      <c r="I15" s="27"/>
      <c r="J15" s="26" t="s">
        <v>33</v>
      </c>
      <c r="K15" s="27"/>
      <c r="L15" s="27"/>
      <c r="M15" s="27"/>
    </row>
    <row r="16" spans="2:13" ht="81" customHeight="1">
      <c r="B16" s="15">
        <v>8</v>
      </c>
      <c r="C16" s="31" t="s">
        <v>34</v>
      </c>
      <c r="D16" s="27"/>
      <c r="E16" s="27"/>
      <c r="F16" s="26" t="s">
        <v>35</v>
      </c>
      <c r="G16" s="27"/>
      <c r="H16" s="27"/>
      <c r="I16" s="27"/>
      <c r="J16" s="26" t="s">
        <v>36</v>
      </c>
      <c r="K16" s="27"/>
      <c r="L16" s="27"/>
      <c r="M16" s="27"/>
    </row>
    <row r="18" spans="2:13" ht="21.95" customHeight="1">
      <c r="B18" s="24" t="s">
        <v>37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2:13" ht="18.95" customHeight="1">
      <c r="B19" s="16">
        <v>1</v>
      </c>
      <c r="C19" s="23" t="s">
        <v>38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33.950000000000003" customHeight="1">
      <c r="B20" s="16">
        <v>2</v>
      </c>
      <c r="C20" s="23" t="s">
        <v>39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2:13" ht="18.95" customHeight="1">
      <c r="B21" s="16">
        <v>3</v>
      </c>
      <c r="C21" s="23" t="s">
        <v>40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2:13" ht="18.95" customHeight="1">
      <c r="B22" s="16">
        <v>4</v>
      </c>
      <c r="C22" s="23" t="s">
        <v>41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ht="18.95" customHeight="1">
      <c r="B23" s="16">
        <v>5</v>
      </c>
      <c r="C23" s="23" t="s">
        <v>42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2:13" ht="33.950000000000003" customHeight="1">
      <c r="B24" s="16">
        <v>6</v>
      </c>
      <c r="C24" s="23" t="s">
        <v>43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2:13" ht="18.95" customHeight="1">
      <c r="B25" s="16">
        <v>7</v>
      </c>
      <c r="C25" s="23" t="s">
        <v>44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7" spans="2:13" ht="21.95" customHeight="1">
      <c r="B27" s="24" t="s">
        <v>45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2:13" ht="48.95" customHeight="1">
      <c r="B28" s="17" t="s">
        <v>46</v>
      </c>
      <c r="C28" s="23" t="s">
        <v>47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2:13" ht="33.950000000000003" customHeight="1">
      <c r="B29" s="17" t="s">
        <v>46</v>
      </c>
      <c r="C29" s="23" t="s">
        <v>48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2:13" ht="48.95" customHeight="1">
      <c r="B30" s="17" t="s">
        <v>46</v>
      </c>
      <c r="C30" s="23" t="s">
        <v>49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2:13" ht="48.95" customHeight="1">
      <c r="B31" s="17" t="s">
        <v>46</v>
      </c>
      <c r="C31" s="23" t="s">
        <v>50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2:13" ht="33.950000000000003" customHeight="1">
      <c r="B32" s="17" t="s">
        <v>46</v>
      </c>
      <c r="C32" s="23" t="s">
        <v>51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4" spans="2:13" ht="21.95" customHeight="1">
      <c r="B34" s="24" t="s">
        <v>52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2:13">
      <c r="C35" s="25" t="s">
        <v>53</v>
      </c>
      <c r="D35" s="22"/>
      <c r="E35" s="22" t="s">
        <v>54</v>
      </c>
      <c r="F35" s="22"/>
      <c r="G35" s="22"/>
      <c r="H35" s="22"/>
      <c r="I35" s="22"/>
      <c r="J35" s="22"/>
      <c r="K35" s="22"/>
      <c r="L35" s="22"/>
      <c r="M35" s="22"/>
    </row>
    <row r="36" spans="2:13">
      <c r="C36" s="25" t="s">
        <v>55</v>
      </c>
      <c r="D36" s="22"/>
      <c r="E36" s="22" t="s">
        <v>56</v>
      </c>
      <c r="F36" s="22"/>
      <c r="G36" s="22"/>
      <c r="H36" s="22"/>
      <c r="I36" s="22"/>
      <c r="J36" s="22"/>
      <c r="K36" s="22"/>
      <c r="L36" s="22"/>
      <c r="M36" s="22"/>
    </row>
    <row r="37" spans="2:13">
      <c r="C37" s="25" t="s">
        <v>57</v>
      </c>
      <c r="D37" s="22"/>
      <c r="E37" s="22" t="s">
        <v>58</v>
      </c>
      <c r="F37" s="22"/>
      <c r="G37" s="22"/>
      <c r="H37" s="22"/>
      <c r="I37" s="22"/>
      <c r="J37" s="22"/>
      <c r="K37" s="22"/>
      <c r="L37" s="22"/>
      <c r="M37" s="22"/>
    </row>
    <row r="38" spans="2:13">
      <c r="C38" s="25" t="s">
        <v>59</v>
      </c>
      <c r="D38" s="22"/>
      <c r="E38" s="22" t="s">
        <v>60</v>
      </c>
      <c r="F38" s="22"/>
      <c r="G38" s="22"/>
      <c r="H38" s="22"/>
      <c r="I38" s="22"/>
      <c r="J38" s="22"/>
      <c r="K38" s="22"/>
      <c r="L38" s="22"/>
      <c r="M38" s="22"/>
    </row>
    <row r="39" spans="2:13">
      <c r="C39" s="25" t="s">
        <v>61</v>
      </c>
      <c r="D39" s="22"/>
      <c r="E39" s="22" t="s">
        <v>62</v>
      </c>
      <c r="F39" s="22"/>
      <c r="G39" s="22"/>
      <c r="H39" s="22"/>
      <c r="I39" s="22"/>
      <c r="J39" s="22"/>
      <c r="K39" s="22"/>
      <c r="L39" s="22"/>
      <c r="M39" s="22"/>
    </row>
    <row r="40" spans="2:13">
      <c r="C40" s="25" t="s">
        <v>63</v>
      </c>
      <c r="D40" s="22"/>
      <c r="E40" s="22" t="s">
        <v>64</v>
      </c>
      <c r="F40" s="22"/>
      <c r="G40" s="22"/>
      <c r="H40" s="22"/>
      <c r="I40" s="22"/>
      <c r="J40" s="22"/>
      <c r="K40" s="22"/>
      <c r="L40" s="22"/>
      <c r="M40" s="22"/>
    </row>
    <row r="41" spans="2:13">
      <c r="C41" s="25" t="s">
        <v>65</v>
      </c>
      <c r="D41" s="22"/>
      <c r="E41" s="22" t="s">
        <v>66</v>
      </c>
      <c r="F41" s="22"/>
      <c r="G41" s="22"/>
      <c r="H41" s="22"/>
      <c r="I41" s="22"/>
      <c r="J41" s="22"/>
      <c r="K41" s="22"/>
      <c r="L41" s="22"/>
      <c r="M41" s="22"/>
    </row>
    <row r="42" spans="2:13">
      <c r="C42" s="25" t="s">
        <v>67</v>
      </c>
      <c r="D42" s="22"/>
      <c r="E42" s="22" t="s">
        <v>68</v>
      </c>
      <c r="F42" s="22"/>
      <c r="G42" s="22"/>
      <c r="H42" s="22"/>
      <c r="I42" s="22"/>
      <c r="J42" s="22"/>
      <c r="K42" s="22"/>
      <c r="L42" s="22"/>
      <c r="M42" s="22"/>
    </row>
    <row r="43" spans="2:13">
      <c r="C43" s="25" t="s">
        <v>69</v>
      </c>
      <c r="D43" s="22"/>
      <c r="E43" s="22" t="s">
        <v>70</v>
      </c>
      <c r="F43" s="22"/>
      <c r="G43" s="22"/>
      <c r="H43" s="22"/>
      <c r="I43" s="22"/>
      <c r="J43" s="22"/>
      <c r="K43" s="22"/>
      <c r="L43" s="22"/>
      <c r="M43" s="22"/>
    </row>
    <row r="44" spans="2:13">
      <c r="C44" s="25" t="s">
        <v>71</v>
      </c>
      <c r="D44" s="22"/>
      <c r="E44" s="22" t="s">
        <v>72</v>
      </c>
      <c r="F44" s="22"/>
      <c r="G44" s="22"/>
      <c r="H44" s="22"/>
      <c r="I44" s="22"/>
      <c r="J44" s="22"/>
      <c r="K44" s="22"/>
      <c r="L44" s="22"/>
      <c r="M44" s="22"/>
    </row>
    <row r="45" spans="2:13">
      <c r="C45" s="25" t="s">
        <v>73</v>
      </c>
      <c r="D45" s="22"/>
      <c r="E45" s="22" t="s">
        <v>74</v>
      </c>
      <c r="F45" s="22"/>
      <c r="G45" s="22"/>
      <c r="H45" s="22"/>
      <c r="I45" s="22"/>
      <c r="J45" s="22"/>
      <c r="K45" s="22"/>
      <c r="L45" s="22"/>
      <c r="M45" s="22"/>
    </row>
  </sheetData>
  <mergeCells count="79">
    <mergeCell ref="B1:M1"/>
    <mergeCell ref="C35:D35"/>
    <mergeCell ref="F14:I14"/>
    <mergeCell ref="E45:M45"/>
    <mergeCell ref="F11:I11"/>
    <mergeCell ref="C8:E8"/>
    <mergeCell ref="C25:M25"/>
    <mergeCell ref="J14:M14"/>
    <mergeCell ref="J13:M13"/>
    <mergeCell ref="E37:M37"/>
    <mergeCell ref="F12:I12"/>
    <mergeCell ref="J15:M15"/>
    <mergeCell ref="C39:D39"/>
    <mergeCell ref="C37:D37"/>
    <mergeCell ref="C32:M32"/>
    <mergeCell ref="B18:M18"/>
    <mergeCell ref="C44:D44"/>
    <mergeCell ref="C22:M22"/>
    <mergeCell ref="F10:I10"/>
    <mergeCell ref="C31:M31"/>
    <mergeCell ref="E41:M41"/>
    <mergeCell ref="C21:M21"/>
    <mergeCell ref="E43:M43"/>
    <mergeCell ref="C23:M23"/>
    <mergeCell ref="C14:E14"/>
    <mergeCell ref="C38:D38"/>
    <mergeCell ref="E42:M42"/>
    <mergeCell ref="J16:M16"/>
    <mergeCell ref="E35:M35"/>
    <mergeCell ref="E44:M44"/>
    <mergeCell ref="C42:D42"/>
    <mergeCell ref="B27:M27"/>
    <mergeCell ref="C45:D45"/>
    <mergeCell ref="E40:M40"/>
    <mergeCell ref="C12:E12"/>
    <mergeCell ref="J8:M8"/>
    <mergeCell ref="F5:G5"/>
    <mergeCell ref="C40:D40"/>
    <mergeCell ref="J10:M10"/>
    <mergeCell ref="C13:E13"/>
    <mergeCell ref="C15:E15"/>
    <mergeCell ref="J11:M11"/>
    <mergeCell ref="H5:I5"/>
    <mergeCell ref="E39:M39"/>
    <mergeCell ref="C10:E10"/>
    <mergeCell ref="C16:E16"/>
    <mergeCell ref="F9:I9"/>
    <mergeCell ref="C9:E9"/>
    <mergeCell ref="C43:D43"/>
    <mergeCell ref="J4:K4"/>
    <mergeCell ref="L4:M4"/>
    <mergeCell ref="J9:M9"/>
    <mergeCell ref="C36:D36"/>
    <mergeCell ref="F15:I15"/>
    <mergeCell ref="D4:E4"/>
    <mergeCell ref="B7:M7"/>
    <mergeCell ref="C19:M19"/>
    <mergeCell ref="C28:M28"/>
    <mergeCell ref="E38:M38"/>
    <mergeCell ref="F13:I13"/>
    <mergeCell ref="C30:M30"/>
    <mergeCell ref="F4:G4"/>
    <mergeCell ref="J12:M12"/>
    <mergeCell ref="C11:E11"/>
    <mergeCell ref="B2:M2"/>
    <mergeCell ref="C24:M24"/>
    <mergeCell ref="B34:M34"/>
    <mergeCell ref="C41:D41"/>
    <mergeCell ref="E36:M36"/>
    <mergeCell ref="F16:I16"/>
    <mergeCell ref="L5:M5"/>
    <mergeCell ref="C20:M20"/>
    <mergeCell ref="C29:M29"/>
    <mergeCell ref="F8:I8"/>
    <mergeCell ref="B5:C5"/>
    <mergeCell ref="D5:E5"/>
    <mergeCell ref="B4:C4"/>
    <mergeCell ref="J5:K5"/>
    <mergeCell ref="H4:I4"/>
  </mergeCells>
  <hyperlinks>
    <hyperlink ref="C35" location="'PT1_Monthly'!A1" display="PT1_Monthly" xr:uid="{00000000-0004-0000-0000-000000000000}"/>
    <hyperlink ref="C36" location="'PT2_Flavour_Value'!A1" display="PT2_Flavour_Value" xr:uid="{00000000-0004-0000-0000-000001000000}"/>
    <hyperlink ref="C37" location="'PT3_Flavour_Volume'!A1" display="PT3_Flavour_Volume" xr:uid="{00000000-0004-0000-0000-000002000000}"/>
    <hyperlink ref="C38" location="'PT4_City'!A1" display="PT4_City" xr:uid="{00000000-0004-0000-0000-000003000000}"/>
    <hyperlink ref="C39" location="'PT5_City_x_Flavour'!A1" display="PT5_City_x_Flavour" xr:uid="{00000000-0004-0000-0000-000004000000}"/>
    <hyperlink ref="C40" location="'PT6_Channel'!A1" display="PT6_Channel" xr:uid="{00000000-0004-0000-0000-000005000000}"/>
    <hyperlink ref="C41" location="'PT7_Qtr_x_Channel'!A1" display="PT7_Qtr_x_Channel" xr:uid="{00000000-0004-0000-0000-000006000000}"/>
    <hyperlink ref="C42" location="'PT8_Temperature'!A1" display="PT8_Temperature" xr:uid="{00000000-0004-0000-0000-000007000000}"/>
    <hyperlink ref="C43" location="'Sales Data 2024'!A1" display="Sales Data 2024" xr:uid="{00000000-0004-0000-0000-000008000000}"/>
    <hyperlink ref="C44" location="'Dashboard &amp; Charts'!A1" display="Dashboard &amp; Charts" xr:uid="{00000000-0004-0000-0000-000009000000}"/>
    <hyperlink ref="C45" location="'Clean_Data'!A1" display="Clean_Data" xr:uid="{00000000-0004-0000-0000-00000A000000}"/>
  </hyperlink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DB5"/>
    <pageSetUpPr fitToPage="1"/>
  </sheetPr>
  <dimension ref="A1:C18"/>
  <sheetViews>
    <sheetView showGridLines="0" workbookViewId="0"/>
  </sheetViews>
  <sheetFormatPr defaultRowHeight="15"/>
  <cols>
    <col min="1" max="1" width="11.28515625" bestFit="1" customWidth="1"/>
    <col min="2" max="2" width="14" bestFit="1" customWidth="1"/>
    <col min="3" max="3" width="11" bestFit="1" customWidth="1"/>
  </cols>
  <sheetData>
    <row r="1" spans="1:3" ht="18.75">
      <c r="A1" s="18" t="s">
        <v>75</v>
      </c>
    </row>
    <row r="2" spans="1:3">
      <c r="A2" s="13" t="s">
        <v>76</v>
      </c>
    </row>
    <row r="4" spans="1:3">
      <c r="B4" s="38" t="s">
        <v>481</v>
      </c>
    </row>
    <row r="5" spans="1:3">
      <c r="A5" s="38" t="s">
        <v>77</v>
      </c>
      <c r="B5" t="s">
        <v>2</v>
      </c>
      <c r="C5" t="s">
        <v>3</v>
      </c>
    </row>
    <row r="6" spans="1:3">
      <c r="A6" s="39" t="s">
        <v>78</v>
      </c>
      <c r="B6" s="11">
        <v>315040</v>
      </c>
      <c r="C6" s="11">
        <v>141970</v>
      </c>
    </row>
    <row r="7" spans="1:3">
      <c r="A7" s="39" t="s">
        <v>79</v>
      </c>
      <c r="B7" s="11">
        <v>529250</v>
      </c>
      <c r="C7" s="11">
        <v>237305</v>
      </c>
    </row>
    <row r="8" spans="1:3">
      <c r="A8" s="39" t="s">
        <v>80</v>
      </c>
      <c r="B8" s="11">
        <v>875550</v>
      </c>
      <c r="C8" s="11">
        <v>394085</v>
      </c>
    </row>
    <row r="9" spans="1:3">
      <c r="A9" s="39" t="s">
        <v>81</v>
      </c>
      <c r="B9" s="11">
        <v>1337740</v>
      </c>
      <c r="C9" s="11">
        <v>601955</v>
      </c>
    </row>
    <row r="10" spans="1:3">
      <c r="A10" s="39" t="s">
        <v>82</v>
      </c>
      <c r="B10" s="11">
        <v>890870</v>
      </c>
      <c r="C10" s="11">
        <v>400345</v>
      </c>
    </row>
    <row r="11" spans="1:3">
      <c r="A11" s="39" t="s">
        <v>83</v>
      </c>
      <c r="B11" s="11">
        <v>924660</v>
      </c>
      <c r="C11" s="11">
        <v>413270</v>
      </c>
    </row>
    <row r="12" spans="1:3">
      <c r="A12" s="39" t="s">
        <v>84</v>
      </c>
      <c r="B12" s="11">
        <v>474280</v>
      </c>
      <c r="C12" s="11">
        <v>212490</v>
      </c>
    </row>
    <row r="13" spans="1:3">
      <c r="A13" s="39" t="s">
        <v>85</v>
      </c>
      <c r="B13" s="11">
        <v>651480</v>
      </c>
      <c r="C13" s="11">
        <v>292365</v>
      </c>
    </row>
    <row r="14" spans="1:3">
      <c r="A14" s="39" t="s">
        <v>86</v>
      </c>
      <c r="B14" s="11">
        <v>612480</v>
      </c>
      <c r="C14" s="11">
        <v>275070</v>
      </c>
    </row>
    <row r="15" spans="1:3">
      <c r="A15" s="39" t="s">
        <v>87</v>
      </c>
      <c r="B15" s="11">
        <v>590430</v>
      </c>
      <c r="C15" s="11">
        <v>264300</v>
      </c>
    </row>
    <row r="16" spans="1:3">
      <c r="A16" s="39" t="s">
        <v>88</v>
      </c>
      <c r="B16" s="11">
        <v>258190</v>
      </c>
      <c r="C16" s="11">
        <v>115925</v>
      </c>
    </row>
    <row r="17" spans="1:3">
      <c r="A17" s="39" t="s">
        <v>89</v>
      </c>
      <c r="B17" s="11">
        <v>329530</v>
      </c>
      <c r="C17" s="11">
        <v>148405</v>
      </c>
    </row>
    <row r="18" spans="1:3">
      <c r="A18" s="39" t="s">
        <v>90</v>
      </c>
      <c r="B18" s="11">
        <v>7789500</v>
      </c>
      <c r="C18" s="11">
        <v>3497485</v>
      </c>
    </row>
  </sheetData>
  <pageMargins left="0.75" right="0.75" top="1" bottom="1" header="0.5" footer="0.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DB5"/>
    <pageSetUpPr fitToPage="1"/>
  </sheetPr>
  <dimension ref="A1:C12"/>
  <sheetViews>
    <sheetView showGridLines="0" workbookViewId="0"/>
  </sheetViews>
  <sheetFormatPr defaultRowHeight="15"/>
  <cols>
    <col min="1" max="1" width="12.140625" bestFit="1" customWidth="1"/>
    <col min="2" max="2" width="14" bestFit="1" customWidth="1"/>
    <col min="3" max="3" width="11" bestFit="1" customWidth="1"/>
  </cols>
  <sheetData>
    <row r="1" spans="1:3" ht="18.75">
      <c r="A1" s="18" t="s">
        <v>91</v>
      </c>
    </row>
    <row r="2" spans="1:3">
      <c r="A2" s="13" t="s">
        <v>76</v>
      </c>
    </row>
    <row r="4" spans="1:3">
      <c r="B4" s="38" t="s">
        <v>481</v>
      </c>
    </row>
    <row r="5" spans="1:3">
      <c r="A5" s="38" t="s">
        <v>92</v>
      </c>
      <c r="B5" t="s">
        <v>2</v>
      </c>
      <c r="C5" t="s">
        <v>3</v>
      </c>
    </row>
    <row r="6" spans="1:3">
      <c r="A6" s="39" t="s">
        <v>93</v>
      </c>
      <c r="B6" s="11">
        <v>1962000</v>
      </c>
      <c r="C6" s="11">
        <v>882900</v>
      </c>
    </row>
    <row r="7" spans="1:3">
      <c r="A7" s="39" t="s">
        <v>94</v>
      </c>
      <c r="B7" s="11">
        <v>1555520</v>
      </c>
      <c r="C7" s="11">
        <v>680540</v>
      </c>
    </row>
    <row r="8" spans="1:3">
      <c r="A8" s="39" t="s">
        <v>95</v>
      </c>
      <c r="B8" s="11">
        <v>1276440</v>
      </c>
      <c r="C8" s="11">
        <v>580200</v>
      </c>
    </row>
    <row r="9" spans="1:3">
      <c r="A9" s="39" t="s">
        <v>96</v>
      </c>
      <c r="B9" s="11">
        <v>1119870</v>
      </c>
      <c r="C9" s="11">
        <v>497720</v>
      </c>
    </row>
    <row r="10" spans="1:3">
      <c r="A10" s="39" t="s">
        <v>97</v>
      </c>
      <c r="B10" s="11">
        <v>1046370</v>
      </c>
      <c r="C10" s="11">
        <v>482940</v>
      </c>
    </row>
    <row r="11" spans="1:3">
      <c r="A11" s="39" t="s">
        <v>98</v>
      </c>
      <c r="B11" s="11">
        <v>829300</v>
      </c>
      <c r="C11" s="11">
        <v>373185</v>
      </c>
    </row>
    <row r="12" spans="1:3">
      <c r="A12" s="39" t="s">
        <v>90</v>
      </c>
      <c r="B12" s="11">
        <v>7789500</v>
      </c>
      <c r="C12" s="11">
        <v>3497485</v>
      </c>
    </row>
  </sheetData>
  <pageMargins left="0.75" right="0.75" top="1" bottom="1" header="0.5" footer="0.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DB5"/>
    <pageSetUpPr fitToPage="1"/>
  </sheetPr>
  <dimension ref="A1:B11"/>
  <sheetViews>
    <sheetView showGridLines="0" workbookViewId="0"/>
  </sheetViews>
  <sheetFormatPr defaultRowHeight="15"/>
  <cols>
    <col min="1" max="1" width="12.140625" bestFit="1" customWidth="1"/>
    <col min="2" max="2" width="9.85546875" bestFit="1" customWidth="1"/>
  </cols>
  <sheetData>
    <row r="1" spans="1:2" ht="18.75">
      <c r="A1" s="18" t="s">
        <v>99</v>
      </c>
    </row>
    <row r="2" spans="1:2">
      <c r="A2" s="13" t="s">
        <v>76</v>
      </c>
    </row>
    <row r="4" spans="1:2">
      <c r="A4" s="38" t="s">
        <v>92</v>
      </c>
      <c r="B4" t="s">
        <v>100</v>
      </c>
    </row>
    <row r="5" spans="1:2">
      <c r="A5" s="39" t="s">
        <v>93</v>
      </c>
      <c r="B5" s="11">
        <v>19620</v>
      </c>
    </row>
    <row r="6" spans="1:2">
      <c r="A6" s="39" t="s">
        <v>94</v>
      </c>
      <c r="B6" s="11">
        <v>19444</v>
      </c>
    </row>
    <row r="7" spans="1:2">
      <c r="A7" s="39" t="s">
        <v>96</v>
      </c>
      <c r="B7" s="11">
        <v>12443</v>
      </c>
    </row>
    <row r="8" spans="1:2">
      <c r="A8" s="39" t="s">
        <v>95</v>
      </c>
      <c r="B8" s="11">
        <v>11604</v>
      </c>
    </row>
    <row r="9" spans="1:2">
      <c r="A9" s="39" t="s">
        <v>98</v>
      </c>
      <c r="B9" s="11">
        <v>8293</v>
      </c>
    </row>
    <row r="10" spans="1:2">
      <c r="A10" s="39" t="s">
        <v>97</v>
      </c>
      <c r="B10" s="11">
        <v>8049</v>
      </c>
    </row>
    <row r="11" spans="1:2">
      <c r="A11" s="39" t="s">
        <v>90</v>
      </c>
      <c r="B11" s="11">
        <v>79453</v>
      </c>
    </row>
  </sheetData>
  <pageMargins left="0.75" right="0.75" top="1" bottom="1" header="0.5" footer="0.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DB5"/>
    <pageSetUpPr fitToPage="1"/>
  </sheetPr>
  <dimension ref="A1:C10"/>
  <sheetViews>
    <sheetView showGridLines="0" workbookViewId="0"/>
  </sheetViews>
  <sheetFormatPr defaultRowHeight="15"/>
  <cols>
    <col min="1" max="1" width="11.28515625" bestFit="1" customWidth="1"/>
    <col min="2" max="2" width="14" bestFit="1" customWidth="1"/>
    <col min="3" max="3" width="11" bestFit="1" customWidth="1"/>
  </cols>
  <sheetData>
    <row r="1" spans="1:3" ht="18.75">
      <c r="A1" s="18" t="s">
        <v>101</v>
      </c>
    </row>
    <row r="2" spans="1:3">
      <c r="A2" s="13" t="s">
        <v>76</v>
      </c>
    </row>
    <row r="4" spans="1:3">
      <c r="B4" s="38" t="s">
        <v>481</v>
      </c>
    </row>
    <row r="5" spans="1:3">
      <c r="A5" s="38" t="s">
        <v>102</v>
      </c>
      <c r="B5" t="s">
        <v>2</v>
      </c>
      <c r="C5" t="s">
        <v>3</v>
      </c>
    </row>
    <row r="6" spans="1:3">
      <c r="A6" s="39" t="s">
        <v>103</v>
      </c>
      <c r="B6" s="11">
        <v>2612250</v>
      </c>
      <c r="C6" s="11">
        <v>1172775</v>
      </c>
    </row>
    <row r="7" spans="1:3">
      <c r="A7" s="39" t="s">
        <v>104</v>
      </c>
      <c r="B7" s="11">
        <v>1847310</v>
      </c>
      <c r="C7" s="11">
        <v>828310</v>
      </c>
    </row>
    <row r="8" spans="1:3">
      <c r="A8" s="39" t="s">
        <v>105</v>
      </c>
      <c r="B8" s="11">
        <v>1669610</v>
      </c>
      <c r="C8" s="11">
        <v>750500</v>
      </c>
    </row>
    <row r="9" spans="1:3">
      <c r="A9" s="39" t="s">
        <v>106</v>
      </c>
      <c r="B9" s="11">
        <v>1660330</v>
      </c>
      <c r="C9" s="11">
        <v>745900</v>
      </c>
    </row>
    <row r="10" spans="1:3">
      <c r="A10" s="39" t="s">
        <v>90</v>
      </c>
      <c r="B10" s="11">
        <v>7789500</v>
      </c>
      <c r="C10" s="11">
        <v>3497485</v>
      </c>
    </row>
  </sheetData>
  <pageMargins left="0.75" right="0.75" top="1" bottom="1" header="0.5" footer="0.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6DB5"/>
    <pageSetUpPr fitToPage="1"/>
  </sheetPr>
  <dimension ref="A1:H10"/>
  <sheetViews>
    <sheetView showGridLines="0" workbookViewId="0"/>
  </sheetViews>
  <sheetFormatPr defaultRowHeight="15"/>
  <cols>
    <col min="1" max="1" width="14" bestFit="1" customWidth="1"/>
    <col min="2" max="2" width="9.85546875" bestFit="1" customWidth="1"/>
    <col min="3" max="4" width="9.140625" bestFit="1" customWidth="1"/>
    <col min="5" max="5" width="10.7109375" bestFit="1" customWidth="1"/>
    <col min="6" max="6" width="10.5703125" bestFit="1" customWidth="1"/>
    <col min="7" max="7" width="12.140625" bestFit="1" customWidth="1"/>
    <col min="8" max="8" width="11.140625" bestFit="1" customWidth="1"/>
  </cols>
  <sheetData>
    <row r="1" spans="1:8" ht="18.75">
      <c r="A1" s="18" t="s">
        <v>107</v>
      </c>
    </row>
    <row r="2" spans="1:8">
      <c r="A2" s="13" t="s">
        <v>76</v>
      </c>
    </row>
    <row r="4" spans="1:8">
      <c r="A4" s="38" t="s">
        <v>2</v>
      </c>
      <c r="B4" s="38" t="s">
        <v>92</v>
      </c>
    </row>
    <row r="5" spans="1:8">
      <c r="A5" s="38" t="s">
        <v>102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90</v>
      </c>
    </row>
    <row r="6" spans="1:8">
      <c r="A6" s="39" t="s">
        <v>103</v>
      </c>
      <c r="B6" s="11">
        <v>686000</v>
      </c>
      <c r="C6" s="11">
        <v>515760</v>
      </c>
      <c r="D6" s="11">
        <v>379610</v>
      </c>
      <c r="E6" s="11">
        <v>387000</v>
      </c>
      <c r="F6" s="11">
        <v>358280</v>
      </c>
      <c r="G6" s="11">
        <v>285600</v>
      </c>
      <c r="H6" s="11">
        <v>2612250</v>
      </c>
    </row>
    <row r="7" spans="1:8">
      <c r="A7" s="39" t="s">
        <v>104</v>
      </c>
      <c r="B7" s="11">
        <v>509500</v>
      </c>
      <c r="C7" s="11">
        <v>386320</v>
      </c>
      <c r="D7" s="11">
        <v>285120</v>
      </c>
      <c r="E7" s="11">
        <v>257310</v>
      </c>
      <c r="F7" s="11">
        <v>171860</v>
      </c>
      <c r="G7" s="11">
        <v>237200</v>
      </c>
      <c r="H7" s="11">
        <v>1847310</v>
      </c>
    </row>
    <row r="8" spans="1:8">
      <c r="A8" s="39" t="s">
        <v>105</v>
      </c>
      <c r="B8" s="11">
        <v>372300</v>
      </c>
      <c r="C8" s="11">
        <v>292880</v>
      </c>
      <c r="D8" s="11">
        <v>299420</v>
      </c>
      <c r="E8" s="11">
        <v>288720</v>
      </c>
      <c r="F8" s="11">
        <v>266890</v>
      </c>
      <c r="G8" s="11">
        <v>149400</v>
      </c>
      <c r="H8" s="11">
        <v>1669610</v>
      </c>
    </row>
    <row r="9" spans="1:8">
      <c r="A9" s="39" t="s">
        <v>106</v>
      </c>
      <c r="B9" s="11">
        <v>394200</v>
      </c>
      <c r="C9" s="11">
        <v>360560</v>
      </c>
      <c r="D9" s="11">
        <v>312290</v>
      </c>
      <c r="E9" s="11">
        <v>186840</v>
      </c>
      <c r="F9" s="11">
        <v>249340</v>
      </c>
      <c r="G9" s="11">
        <v>157100</v>
      </c>
      <c r="H9" s="11">
        <v>1660330</v>
      </c>
    </row>
    <row r="10" spans="1:8">
      <c r="A10" s="39" t="s">
        <v>90</v>
      </c>
      <c r="B10" s="11">
        <v>1962000</v>
      </c>
      <c r="C10" s="11">
        <v>1555520</v>
      </c>
      <c r="D10" s="11">
        <v>1276440</v>
      </c>
      <c r="E10" s="11">
        <v>1119870</v>
      </c>
      <c r="F10" s="11">
        <v>1046370</v>
      </c>
      <c r="G10" s="11">
        <v>829300</v>
      </c>
      <c r="H10" s="11">
        <v>7789500</v>
      </c>
    </row>
  </sheetData>
  <pageMargins left="0.75" right="0.75" top="1" bottom="1" header="0.5" footer="0.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6DB5"/>
    <pageSetUpPr fitToPage="1"/>
  </sheetPr>
  <dimension ref="A1:B8"/>
  <sheetViews>
    <sheetView showGridLines="0" workbookViewId="0">
      <selection activeCell="A2" sqref="A2"/>
    </sheetView>
  </sheetViews>
  <sheetFormatPr defaultRowHeight="15"/>
  <cols>
    <col min="1" max="1" width="15" bestFit="1" customWidth="1"/>
    <col min="2" max="2" width="14" bestFit="1" customWidth="1"/>
  </cols>
  <sheetData>
    <row r="1" spans="1:2" ht="18.75">
      <c r="A1" s="18" t="s">
        <v>108</v>
      </c>
    </row>
    <row r="2" spans="1:2">
      <c r="A2" s="13" t="s">
        <v>76</v>
      </c>
    </row>
    <row r="4" spans="1:2">
      <c r="A4" s="38" t="s">
        <v>109</v>
      </c>
      <c r="B4" t="s">
        <v>2</v>
      </c>
    </row>
    <row r="5" spans="1:2">
      <c r="A5" s="39" t="s">
        <v>110</v>
      </c>
      <c r="B5" s="11">
        <v>3845500</v>
      </c>
    </row>
    <row r="6" spans="1:2">
      <c r="A6" s="39" t="s">
        <v>111</v>
      </c>
      <c r="B6" s="11">
        <v>2908380</v>
      </c>
    </row>
    <row r="7" spans="1:2">
      <c r="A7" s="39" t="s">
        <v>112</v>
      </c>
      <c r="B7" s="11">
        <v>1035620</v>
      </c>
    </row>
    <row r="8" spans="1:2">
      <c r="A8" s="39" t="s">
        <v>90</v>
      </c>
      <c r="B8" s="11">
        <v>7789500</v>
      </c>
    </row>
  </sheetData>
  <pageMargins left="0.75" right="0.75" top="1" bottom="1" header="0.5" footer="0.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6DB5"/>
    <pageSetUpPr fitToPage="1"/>
  </sheetPr>
  <dimension ref="A1:E10"/>
  <sheetViews>
    <sheetView showGridLines="0" workbookViewId="0"/>
  </sheetViews>
  <sheetFormatPr defaultRowHeight="15"/>
  <cols>
    <col min="1" max="1" width="14" bestFit="1" customWidth="1"/>
    <col min="2" max="2" width="10.5703125" bestFit="1" customWidth="1"/>
    <col min="3" max="3" width="15" customWidth="1"/>
    <col min="4" max="4" width="9.140625" bestFit="1" customWidth="1"/>
    <col min="5" max="5" width="11.140625" bestFit="1" customWidth="1"/>
  </cols>
  <sheetData>
    <row r="1" spans="1:5" ht="18.75">
      <c r="A1" s="18" t="s">
        <v>113</v>
      </c>
    </row>
    <row r="2" spans="1:5">
      <c r="A2" s="13" t="s">
        <v>76</v>
      </c>
    </row>
    <row r="4" spans="1:5">
      <c r="A4" s="38" t="s">
        <v>2</v>
      </c>
      <c r="B4" s="38" t="s">
        <v>109</v>
      </c>
    </row>
    <row r="5" spans="1:5">
      <c r="A5" s="38" t="s">
        <v>114</v>
      </c>
      <c r="B5" t="s">
        <v>110</v>
      </c>
      <c r="C5" t="s">
        <v>111</v>
      </c>
      <c r="D5" t="s">
        <v>112</v>
      </c>
      <c r="E5" t="s">
        <v>90</v>
      </c>
    </row>
    <row r="6" spans="1:5">
      <c r="A6" s="39" t="s">
        <v>115</v>
      </c>
      <c r="B6" s="11">
        <v>799270</v>
      </c>
      <c r="C6" s="11">
        <v>645170</v>
      </c>
      <c r="D6" s="11">
        <v>275400</v>
      </c>
      <c r="E6" s="11">
        <v>1719840</v>
      </c>
    </row>
    <row r="7" spans="1:5">
      <c r="A7" s="39" t="s">
        <v>116</v>
      </c>
      <c r="B7" s="11">
        <v>1536320</v>
      </c>
      <c r="C7" s="11">
        <v>1269520</v>
      </c>
      <c r="D7" s="11">
        <v>347430</v>
      </c>
      <c r="E7" s="11">
        <v>3153270</v>
      </c>
    </row>
    <row r="8" spans="1:5">
      <c r="A8" s="39" t="s">
        <v>117</v>
      </c>
      <c r="B8" s="11">
        <v>869830</v>
      </c>
      <c r="C8" s="11">
        <v>606020</v>
      </c>
      <c r="D8" s="11">
        <v>262390</v>
      </c>
      <c r="E8" s="11">
        <v>1738240</v>
      </c>
    </row>
    <row r="9" spans="1:5">
      <c r="A9" s="39" t="s">
        <v>118</v>
      </c>
      <c r="B9" s="11">
        <v>640080</v>
      </c>
      <c r="C9" s="11">
        <v>387670</v>
      </c>
      <c r="D9" s="11">
        <v>150400</v>
      </c>
      <c r="E9" s="11">
        <v>1178150</v>
      </c>
    </row>
    <row r="10" spans="1:5">
      <c r="A10" s="39" t="s">
        <v>90</v>
      </c>
      <c r="B10" s="11">
        <v>3845500</v>
      </c>
      <c r="C10" s="11">
        <v>2908380</v>
      </c>
      <c r="D10" s="11">
        <v>1035620</v>
      </c>
      <c r="E10" s="11">
        <v>7789500</v>
      </c>
    </row>
  </sheetData>
  <pageMargins left="0.75" right="0.75" top="1" bottom="1" header="0.5" footer="0.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6DB5"/>
    <pageSetUpPr fitToPage="1"/>
  </sheetPr>
  <dimension ref="A1:B9"/>
  <sheetViews>
    <sheetView showGridLines="0" tabSelected="1" topLeftCell="B1" workbookViewId="0"/>
  </sheetViews>
  <sheetFormatPr defaultRowHeight="15"/>
  <cols>
    <col min="1" max="1" width="199.28515625" bestFit="1" customWidth="1"/>
    <col min="2" max="2" width="23.7109375" bestFit="1" customWidth="1"/>
  </cols>
  <sheetData>
    <row r="1" spans="1:2" ht="18.75">
      <c r="A1" s="18" t="s">
        <v>119</v>
      </c>
    </row>
    <row r="2" spans="1:2">
      <c r="A2" s="13" t="s">
        <v>76</v>
      </c>
    </row>
    <row r="4" spans="1:2">
      <c r="A4" s="38" t="s">
        <v>120</v>
      </c>
      <c r="B4" t="s">
        <v>121</v>
      </c>
    </row>
    <row r="5" spans="1:2">
      <c r="A5" s="39" t="s">
        <v>122</v>
      </c>
      <c r="B5" s="40">
        <v>35.213903743315505</v>
      </c>
    </row>
    <row r="6" spans="1:2">
      <c r="A6" s="39" t="s">
        <v>123</v>
      </c>
      <c r="B6" s="40">
        <v>61.871886120996443</v>
      </c>
    </row>
    <row r="7" spans="1:2">
      <c r="A7" s="39" t="s">
        <v>124</v>
      </c>
      <c r="B7" s="40">
        <v>91.218562874251504</v>
      </c>
    </row>
    <row r="8" spans="1:2">
      <c r="A8" s="39" t="s">
        <v>125</v>
      </c>
      <c r="B8" s="40">
        <v>126.33838383838383</v>
      </c>
    </row>
    <row r="9" spans="1:2">
      <c r="A9" s="39" t="s">
        <v>90</v>
      </c>
      <c r="B9" s="40">
        <v>79.453000000000003</v>
      </c>
    </row>
  </sheetData>
  <pageMargins left="0.75" right="0.75" top="1" bottom="1" header="0.5" footer="0.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1"/>
  <sheetViews>
    <sheetView workbookViewId="0"/>
  </sheetViews>
  <sheetFormatPr defaultRowHeight="15"/>
  <cols>
    <col min="1" max="1" width="13" customWidth="1"/>
    <col min="2" max="2" width="12" customWidth="1"/>
    <col min="3" max="3" width="15" customWidth="1"/>
    <col min="4" max="4" width="18" customWidth="1"/>
    <col min="5" max="5" width="16" customWidth="1"/>
    <col min="6" max="6" width="13" customWidth="1"/>
    <col min="7" max="7" width="17" customWidth="1"/>
    <col min="8" max="8" width="16" customWidth="1"/>
    <col min="9" max="9" width="14" customWidth="1"/>
    <col min="10" max="10" width="12" customWidth="1"/>
    <col min="11" max="11" width="13" customWidth="1"/>
  </cols>
  <sheetData>
    <row r="1" spans="1:11">
      <c r="A1" s="1" t="s">
        <v>126</v>
      </c>
      <c r="B1" s="1" t="s">
        <v>102</v>
      </c>
      <c r="C1" s="1" t="s">
        <v>92</v>
      </c>
      <c r="D1" s="1" t="s">
        <v>109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</row>
    <row r="2" spans="1:11">
      <c r="A2" s="2" t="s">
        <v>134</v>
      </c>
      <c r="B2" s="3" t="s">
        <v>103</v>
      </c>
      <c r="C2" s="3" t="s">
        <v>95</v>
      </c>
      <c r="D2" s="3" t="s">
        <v>111</v>
      </c>
      <c r="E2" s="3">
        <v>38</v>
      </c>
      <c r="F2" s="3">
        <v>70</v>
      </c>
      <c r="G2" s="3">
        <v>110</v>
      </c>
      <c r="H2" s="3">
        <v>60</v>
      </c>
      <c r="I2" s="4">
        <v>7700</v>
      </c>
      <c r="J2" s="4">
        <v>4200</v>
      </c>
      <c r="K2" s="4">
        <v>3500</v>
      </c>
    </row>
    <row r="3" spans="1:11">
      <c r="A3" s="2" t="s">
        <v>135</v>
      </c>
      <c r="B3" s="3" t="s">
        <v>103</v>
      </c>
      <c r="C3" s="3" t="s">
        <v>94</v>
      </c>
      <c r="D3" s="3" t="s">
        <v>112</v>
      </c>
      <c r="E3" s="3">
        <v>39</v>
      </c>
      <c r="F3" s="3">
        <v>149</v>
      </c>
      <c r="G3" s="3">
        <v>80</v>
      </c>
      <c r="H3" s="3">
        <v>45</v>
      </c>
      <c r="I3" s="4">
        <v>11920</v>
      </c>
      <c r="J3" s="4">
        <v>6705</v>
      </c>
      <c r="K3" s="4">
        <v>5215</v>
      </c>
    </row>
    <row r="4" spans="1:11">
      <c r="A4" s="2" t="s">
        <v>136</v>
      </c>
      <c r="B4" s="3" t="s">
        <v>103</v>
      </c>
      <c r="C4" s="3" t="s">
        <v>95</v>
      </c>
      <c r="D4" s="3" t="s">
        <v>111</v>
      </c>
      <c r="E4" s="3">
        <v>33</v>
      </c>
      <c r="F4" s="3">
        <v>87</v>
      </c>
      <c r="G4" s="3">
        <v>110</v>
      </c>
      <c r="H4" s="3">
        <v>60</v>
      </c>
      <c r="I4" s="4">
        <v>9570</v>
      </c>
      <c r="J4" s="4">
        <v>5220</v>
      </c>
      <c r="K4" s="4">
        <v>4350</v>
      </c>
    </row>
    <row r="5" spans="1:11">
      <c r="A5" s="2" t="s">
        <v>137</v>
      </c>
      <c r="B5" s="3" t="s">
        <v>105</v>
      </c>
      <c r="C5" s="3" t="s">
        <v>97</v>
      </c>
      <c r="D5" s="3" t="s">
        <v>111</v>
      </c>
      <c r="E5" s="3">
        <v>28</v>
      </c>
      <c r="F5" s="3">
        <v>78</v>
      </c>
      <c r="G5" s="3">
        <v>130</v>
      </c>
      <c r="H5" s="3">
        <v>70</v>
      </c>
      <c r="I5" s="4">
        <v>10140</v>
      </c>
      <c r="J5" s="4">
        <v>5460</v>
      </c>
      <c r="K5" s="4">
        <v>4680</v>
      </c>
    </row>
    <row r="6" spans="1:11">
      <c r="A6" s="2" t="s">
        <v>138</v>
      </c>
      <c r="B6" s="3" t="s">
        <v>104</v>
      </c>
      <c r="C6" s="3" t="s">
        <v>96</v>
      </c>
      <c r="D6" s="3" t="s">
        <v>110</v>
      </c>
      <c r="E6" s="3">
        <v>22</v>
      </c>
      <c r="F6" s="3">
        <v>16</v>
      </c>
      <c r="G6" s="3">
        <v>90</v>
      </c>
      <c r="H6" s="3">
        <v>50</v>
      </c>
      <c r="I6" s="4">
        <v>1440</v>
      </c>
      <c r="J6" s="4">
        <v>800</v>
      </c>
      <c r="K6" s="4">
        <v>640</v>
      </c>
    </row>
    <row r="7" spans="1:11">
      <c r="A7" s="2" t="s">
        <v>139</v>
      </c>
      <c r="B7" s="3" t="s">
        <v>106</v>
      </c>
      <c r="C7" s="3" t="s">
        <v>94</v>
      </c>
      <c r="D7" s="3" t="s">
        <v>112</v>
      </c>
      <c r="E7" s="3">
        <v>27</v>
      </c>
      <c r="F7" s="3">
        <v>59</v>
      </c>
      <c r="G7" s="3">
        <v>80</v>
      </c>
      <c r="H7" s="3">
        <v>45</v>
      </c>
      <c r="I7" s="4">
        <v>4720</v>
      </c>
      <c r="J7" s="4">
        <v>2655</v>
      </c>
      <c r="K7" s="4">
        <v>2065</v>
      </c>
    </row>
    <row r="8" spans="1:11">
      <c r="A8" s="2" t="s">
        <v>140</v>
      </c>
      <c r="B8" s="3" t="s">
        <v>103</v>
      </c>
      <c r="C8" s="3" t="s">
        <v>94</v>
      </c>
      <c r="D8" s="3" t="s">
        <v>110</v>
      </c>
      <c r="E8" s="3">
        <v>32</v>
      </c>
      <c r="F8" s="3">
        <v>89</v>
      </c>
      <c r="G8" s="3">
        <v>80</v>
      </c>
      <c r="H8" s="3">
        <v>45</v>
      </c>
      <c r="I8" s="4">
        <v>7120</v>
      </c>
      <c r="J8" s="4">
        <v>4005</v>
      </c>
      <c r="K8" s="4">
        <v>3115</v>
      </c>
    </row>
    <row r="9" spans="1:11">
      <c r="A9" s="2" t="s">
        <v>141</v>
      </c>
      <c r="B9" s="3" t="s">
        <v>106</v>
      </c>
      <c r="C9" s="3" t="s">
        <v>94</v>
      </c>
      <c r="D9" s="3" t="s">
        <v>110</v>
      </c>
      <c r="E9" s="3">
        <v>27</v>
      </c>
      <c r="F9" s="3">
        <v>33</v>
      </c>
      <c r="G9" s="3">
        <v>80</v>
      </c>
      <c r="H9" s="3">
        <v>45</v>
      </c>
      <c r="I9" s="4">
        <v>2640</v>
      </c>
      <c r="J9" s="4">
        <v>1485</v>
      </c>
      <c r="K9" s="4">
        <v>1155</v>
      </c>
    </row>
    <row r="10" spans="1:11">
      <c r="A10" s="2" t="s">
        <v>142</v>
      </c>
      <c r="B10" s="3" t="s">
        <v>103</v>
      </c>
      <c r="C10" s="3" t="s">
        <v>96</v>
      </c>
      <c r="D10" s="3" t="s">
        <v>112</v>
      </c>
      <c r="E10" s="3">
        <v>27</v>
      </c>
      <c r="F10" s="3">
        <v>73</v>
      </c>
      <c r="G10" s="3">
        <v>90</v>
      </c>
      <c r="H10" s="3">
        <v>50</v>
      </c>
      <c r="I10" s="4">
        <v>6570</v>
      </c>
      <c r="J10" s="4">
        <v>3650</v>
      </c>
      <c r="K10" s="4">
        <v>2920</v>
      </c>
    </row>
    <row r="11" spans="1:11">
      <c r="A11" s="2" t="s">
        <v>143</v>
      </c>
      <c r="B11" s="3" t="s">
        <v>104</v>
      </c>
      <c r="C11" s="3" t="s">
        <v>98</v>
      </c>
      <c r="D11" s="3" t="s">
        <v>112</v>
      </c>
      <c r="E11" s="3">
        <v>32</v>
      </c>
      <c r="F11" s="3">
        <v>101</v>
      </c>
      <c r="G11" s="3">
        <v>100</v>
      </c>
      <c r="H11" s="3">
        <v>55</v>
      </c>
      <c r="I11" s="4">
        <v>10100</v>
      </c>
      <c r="J11" s="4">
        <v>5555</v>
      </c>
      <c r="K11" s="4">
        <v>4545</v>
      </c>
    </row>
    <row r="12" spans="1:11">
      <c r="A12" s="2" t="s">
        <v>144</v>
      </c>
      <c r="B12" s="3" t="s">
        <v>103</v>
      </c>
      <c r="C12" s="3" t="s">
        <v>94</v>
      </c>
      <c r="D12" s="3" t="s">
        <v>110</v>
      </c>
      <c r="E12" s="3">
        <v>33</v>
      </c>
      <c r="F12" s="3">
        <v>82</v>
      </c>
      <c r="G12" s="3">
        <v>80</v>
      </c>
      <c r="H12" s="3">
        <v>45</v>
      </c>
      <c r="I12" s="4">
        <v>6560</v>
      </c>
      <c r="J12" s="4">
        <v>3690</v>
      </c>
      <c r="K12" s="4">
        <v>2870</v>
      </c>
    </row>
    <row r="13" spans="1:11">
      <c r="A13" s="2" t="s">
        <v>145</v>
      </c>
      <c r="B13" s="3" t="s">
        <v>104</v>
      </c>
      <c r="C13" s="3" t="s">
        <v>93</v>
      </c>
      <c r="D13" s="3" t="s">
        <v>110</v>
      </c>
      <c r="E13" s="3">
        <v>26</v>
      </c>
      <c r="F13" s="3">
        <v>44</v>
      </c>
      <c r="G13" s="3">
        <v>100</v>
      </c>
      <c r="H13" s="3">
        <v>55</v>
      </c>
      <c r="I13" s="4">
        <v>4400</v>
      </c>
      <c r="J13" s="4">
        <v>2420</v>
      </c>
      <c r="K13" s="4">
        <v>1980</v>
      </c>
    </row>
    <row r="14" spans="1:11">
      <c r="A14" s="2" t="s">
        <v>146</v>
      </c>
      <c r="B14" s="3" t="s">
        <v>105</v>
      </c>
      <c r="C14" s="3" t="s">
        <v>97</v>
      </c>
      <c r="D14" s="3" t="s">
        <v>110</v>
      </c>
      <c r="E14" s="3">
        <v>20</v>
      </c>
      <c r="F14" s="3">
        <v>33</v>
      </c>
      <c r="G14" s="3">
        <v>130</v>
      </c>
      <c r="H14" s="3">
        <v>70</v>
      </c>
      <c r="I14" s="4">
        <v>4290</v>
      </c>
      <c r="J14" s="4">
        <v>2310</v>
      </c>
      <c r="K14" s="4">
        <v>1980</v>
      </c>
    </row>
    <row r="15" spans="1:11">
      <c r="A15" s="2" t="s">
        <v>147</v>
      </c>
      <c r="B15" s="3" t="s">
        <v>105</v>
      </c>
      <c r="C15" s="3" t="s">
        <v>95</v>
      </c>
      <c r="D15" s="3" t="s">
        <v>111</v>
      </c>
      <c r="E15" s="3">
        <v>38</v>
      </c>
      <c r="F15" s="3">
        <v>90</v>
      </c>
      <c r="G15" s="3">
        <v>110</v>
      </c>
      <c r="H15" s="3">
        <v>60</v>
      </c>
      <c r="I15" s="4">
        <v>9900</v>
      </c>
      <c r="J15" s="4">
        <v>5400</v>
      </c>
      <c r="K15" s="4">
        <v>4500</v>
      </c>
    </row>
    <row r="16" spans="1:11">
      <c r="A16" s="2" t="s">
        <v>148</v>
      </c>
      <c r="B16" s="3" t="s">
        <v>103</v>
      </c>
      <c r="C16" s="3" t="s">
        <v>96</v>
      </c>
      <c r="D16" s="3" t="s">
        <v>110</v>
      </c>
      <c r="E16" s="3">
        <v>33</v>
      </c>
      <c r="F16" s="3">
        <v>52</v>
      </c>
      <c r="G16" s="3">
        <v>90</v>
      </c>
      <c r="H16" s="3">
        <v>50</v>
      </c>
      <c r="I16" s="4">
        <v>4680</v>
      </c>
      <c r="J16" s="4">
        <v>2600</v>
      </c>
      <c r="K16" s="4">
        <v>2080</v>
      </c>
    </row>
    <row r="17" spans="1:11">
      <c r="A17" s="2" t="s">
        <v>149</v>
      </c>
      <c r="B17" s="3" t="s">
        <v>105</v>
      </c>
      <c r="C17" s="3" t="s">
        <v>95</v>
      </c>
      <c r="D17" s="3" t="s">
        <v>112</v>
      </c>
      <c r="E17" s="3">
        <v>28</v>
      </c>
      <c r="F17" s="3">
        <v>94</v>
      </c>
      <c r="G17" s="3">
        <v>110</v>
      </c>
      <c r="H17" s="3">
        <v>60</v>
      </c>
      <c r="I17" s="4">
        <v>10340</v>
      </c>
      <c r="J17" s="4">
        <v>5640</v>
      </c>
      <c r="K17" s="4">
        <v>4700</v>
      </c>
    </row>
    <row r="18" spans="1:11">
      <c r="A18" s="2" t="s">
        <v>150</v>
      </c>
      <c r="B18" s="3" t="s">
        <v>106</v>
      </c>
      <c r="C18" s="3" t="s">
        <v>97</v>
      </c>
      <c r="D18" s="3" t="s">
        <v>111</v>
      </c>
      <c r="E18" s="3">
        <v>38</v>
      </c>
      <c r="F18" s="3">
        <v>191</v>
      </c>
      <c r="G18" s="3">
        <v>130</v>
      </c>
      <c r="H18" s="3">
        <v>70</v>
      </c>
      <c r="I18" s="4">
        <v>24830</v>
      </c>
      <c r="J18" s="4">
        <v>13370</v>
      </c>
      <c r="K18" s="4">
        <v>11460</v>
      </c>
    </row>
    <row r="19" spans="1:11">
      <c r="A19" s="2" t="s">
        <v>151</v>
      </c>
      <c r="B19" s="3" t="s">
        <v>104</v>
      </c>
      <c r="C19" s="3" t="s">
        <v>96</v>
      </c>
      <c r="D19" s="3" t="s">
        <v>110</v>
      </c>
      <c r="E19" s="3">
        <v>28</v>
      </c>
      <c r="F19" s="3">
        <v>106</v>
      </c>
      <c r="G19" s="3">
        <v>90</v>
      </c>
      <c r="H19" s="3">
        <v>50</v>
      </c>
      <c r="I19" s="4">
        <v>9540</v>
      </c>
      <c r="J19" s="4">
        <v>5300</v>
      </c>
      <c r="K19" s="4">
        <v>4240</v>
      </c>
    </row>
    <row r="20" spans="1:11">
      <c r="A20" s="2" t="s">
        <v>152</v>
      </c>
      <c r="B20" s="3" t="s">
        <v>104</v>
      </c>
      <c r="C20" s="3" t="s">
        <v>98</v>
      </c>
      <c r="D20" s="3" t="s">
        <v>111</v>
      </c>
      <c r="E20" s="3">
        <v>36</v>
      </c>
      <c r="F20" s="3">
        <v>181</v>
      </c>
      <c r="G20" s="3">
        <v>100</v>
      </c>
      <c r="H20" s="3">
        <v>55</v>
      </c>
      <c r="I20" s="4">
        <v>18100</v>
      </c>
      <c r="J20" s="4">
        <v>9955</v>
      </c>
      <c r="K20" s="4">
        <v>8145</v>
      </c>
    </row>
    <row r="21" spans="1:11">
      <c r="A21" s="2" t="s">
        <v>153</v>
      </c>
      <c r="B21" s="3" t="s">
        <v>105</v>
      </c>
      <c r="C21" s="3" t="s">
        <v>93</v>
      </c>
      <c r="D21" s="3" t="s">
        <v>110</v>
      </c>
      <c r="E21" s="3">
        <v>32</v>
      </c>
      <c r="F21" s="3">
        <v>61</v>
      </c>
      <c r="G21" s="3">
        <v>100</v>
      </c>
      <c r="H21" s="3">
        <v>55</v>
      </c>
      <c r="I21" s="4">
        <v>6100</v>
      </c>
      <c r="J21" s="4">
        <v>3355</v>
      </c>
      <c r="K21" s="4">
        <v>2745</v>
      </c>
    </row>
    <row r="22" spans="1:11">
      <c r="A22" s="2" t="s">
        <v>154</v>
      </c>
      <c r="B22" s="3" t="s">
        <v>106</v>
      </c>
      <c r="C22" s="3" t="s">
        <v>95</v>
      </c>
      <c r="D22" s="3" t="s">
        <v>111</v>
      </c>
      <c r="E22" s="3">
        <v>34</v>
      </c>
      <c r="F22" s="3">
        <v>91</v>
      </c>
      <c r="G22" s="3">
        <v>110</v>
      </c>
      <c r="H22" s="3">
        <v>60</v>
      </c>
      <c r="I22" s="4">
        <v>10010</v>
      </c>
      <c r="J22" s="4">
        <v>5460</v>
      </c>
      <c r="K22" s="4">
        <v>4550</v>
      </c>
    </row>
    <row r="23" spans="1:11">
      <c r="A23" s="2" t="s">
        <v>155</v>
      </c>
      <c r="B23" s="3" t="s">
        <v>103</v>
      </c>
      <c r="C23" s="3" t="s">
        <v>93</v>
      </c>
      <c r="D23" s="3" t="s">
        <v>110</v>
      </c>
      <c r="E23" s="3">
        <v>41</v>
      </c>
      <c r="F23" s="3">
        <v>124</v>
      </c>
      <c r="G23" s="3">
        <v>100</v>
      </c>
      <c r="H23" s="3">
        <v>55</v>
      </c>
      <c r="I23" s="4">
        <v>12400</v>
      </c>
      <c r="J23" s="4">
        <v>6820</v>
      </c>
      <c r="K23" s="4">
        <v>5580</v>
      </c>
    </row>
    <row r="24" spans="1:11">
      <c r="A24" s="2" t="s">
        <v>156</v>
      </c>
      <c r="B24" s="3" t="s">
        <v>106</v>
      </c>
      <c r="C24" s="3" t="s">
        <v>93</v>
      </c>
      <c r="D24" s="3" t="s">
        <v>110</v>
      </c>
      <c r="E24" s="3">
        <v>26</v>
      </c>
      <c r="F24" s="3">
        <v>36</v>
      </c>
      <c r="G24" s="3">
        <v>100</v>
      </c>
      <c r="H24" s="3">
        <v>55</v>
      </c>
      <c r="I24" s="4">
        <v>3600</v>
      </c>
      <c r="J24" s="4">
        <v>1980</v>
      </c>
      <c r="K24" s="4">
        <v>1620</v>
      </c>
    </row>
    <row r="25" spans="1:11">
      <c r="A25" s="2" t="s">
        <v>157</v>
      </c>
      <c r="B25" s="3" t="s">
        <v>103</v>
      </c>
      <c r="C25" s="3" t="s">
        <v>93</v>
      </c>
      <c r="D25" s="3" t="s">
        <v>110</v>
      </c>
      <c r="E25" s="3">
        <v>36</v>
      </c>
      <c r="F25" s="3">
        <v>186</v>
      </c>
      <c r="G25" s="3">
        <v>100</v>
      </c>
      <c r="H25" s="3">
        <v>55</v>
      </c>
      <c r="I25" s="4">
        <v>18600</v>
      </c>
      <c r="J25" s="4">
        <v>10230</v>
      </c>
      <c r="K25" s="4">
        <v>8370</v>
      </c>
    </row>
    <row r="26" spans="1:11">
      <c r="A26" s="2" t="s">
        <v>158</v>
      </c>
      <c r="B26" s="3" t="s">
        <v>103</v>
      </c>
      <c r="C26" s="3" t="s">
        <v>94</v>
      </c>
      <c r="D26" s="3" t="s">
        <v>112</v>
      </c>
      <c r="E26" s="3">
        <v>33</v>
      </c>
      <c r="F26" s="3">
        <v>61</v>
      </c>
      <c r="G26" s="3">
        <v>80</v>
      </c>
      <c r="H26" s="3">
        <v>45</v>
      </c>
      <c r="I26" s="4">
        <v>4880</v>
      </c>
      <c r="J26" s="4">
        <v>2745</v>
      </c>
      <c r="K26" s="4">
        <v>2135</v>
      </c>
    </row>
    <row r="27" spans="1:11">
      <c r="A27" s="2" t="s">
        <v>159</v>
      </c>
      <c r="B27" s="3" t="s">
        <v>103</v>
      </c>
      <c r="C27" s="3" t="s">
        <v>93</v>
      </c>
      <c r="D27" s="3" t="s">
        <v>110</v>
      </c>
      <c r="E27" s="3">
        <v>32</v>
      </c>
      <c r="F27" s="3">
        <v>41</v>
      </c>
      <c r="G27" s="3">
        <v>100</v>
      </c>
      <c r="H27" s="3">
        <v>55</v>
      </c>
      <c r="I27" s="4">
        <v>4100</v>
      </c>
      <c r="J27" s="4">
        <v>2255</v>
      </c>
      <c r="K27" s="4">
        <v>1845</v>
      </c>
    </row>
    <row r="28" spans="1:11">
      <c r="A28" s="2" t="s">
        <v>160</v>
      </c>
      <c r="B28" s="3" t="s">
        <v>106</v>
      </c>
      <c r="C28" s="3" t="s">
        <v>94</v>
      </c>
      <c r="D28" s="3" t="s">
        <v>110</v>
      </c>
      <c r="E28" s="3">
        <v>33</v>
      </c>
      <c r="F28" s="3">
        <v>51</v>
      </c>
      <c r="G28" s="3">
        <v>80</v>
      </c>
      <c r="H28" s="3">
        <v>45</v>
      </c>
      <c r="I28" s="4">
        <v>4080</v>
      </c>
      <c r="J28" s="4">
        <v>2295</v>
      </c>
      <c r="K28" s="4">
        <v>1785</v>
      </c>
    </row>
    <row r="29" spans="1:11">
      <c r="A29" s="2" t="s">
        <v>161</v>
      </c>
      <c r="B29" s="3" t="s">
        <v>103</v>
      </c>
      <c r="C29" s="3" t="s">
        <v>94</v>
      </c>
      <c r="D29" s="3" t="s">
        <v>112</v>
      </c>
      <c r="E29" s="3">
        <v>27</v>
      </c>
      <c r="F29" s="3">
        <v>48</v>
      </c>
      <c r="G29" s="3">
        <v>80</v>
      </c>
      <c r="H29" s="3">
        <v>45</v>
      </c>
      <c r="I29" s="4">
        <v>3840</v>
      </c>
      <c r="J29" s="4">
        <v>2160</v>
      </c>
      <c r="K29" s="4">
        <v>1680</v>
      </c>
    </row>
    <row r="30" spans="1:11">
      <c r="A30" s="2" t="s">
        <v>162</v>
      </c>
      <c r="B30" s="3" t="s">
        <v>106</v>
      </c>
      <c r="C30" s="3" t="s">
        <v>93</v>
      </c>
      <c r="D30" s="3" t="s">
        <v>110</v>
      </c>
      <c r="E30" s="3">
        <v>32</v>
      </c>
      <c r="F30" s="3">
        <v>97</v>
      </c>
      <c r="G30" s="3">
        <v>100</v>
      </c>
      <c r="H30" s="3">
        <v>55</v>
      </c>
      <c r="I30" s="4">
        <v>9700</v>
      </c>
      <c r="J30" s="4">
        <v>5335</v>
      </c>
      <c r="K30" s="4">
        <v>4365</v>
      </c>
    </row>
    <row r="31" spans="1:11">
      <c r="A31" s="2" t="s">
        <v>163</v>
      </c>
      <c r="B31" s="3" t="s">
        <v>103</v>
      </c>
      <c r="C31" s="3" t="s">
        <v>93</v>
      </c>
      <c r="D31" s="3" t="s">
        <v>111</v>
      </c>
      <c r="E31" s="3">
        <v>29</v>
      </c>
      <c r="F31" s="3">
        <v>98</v>
      </c>
      <c r="G31" s="3">
        <v>100</v>
      </c>
      <c r="H31" s="3">
        <v>55</v>
      </c>
      <c r="I31" s="4">
        <v>9800</v>
      </c>
      <c r="J31" s="4">
        <v>5390</v>
      </c>
      <c r="K31" s="4">
        <v>4410</v>
      </c>
    </row>
    <row r="32" spans="1:11">
      <c r="A32" s="2" t="s">
        <v>164</v>
      </c>
      <c r="B32" s="3" t="s">
        <v>104</v>
      </c>
      <c r="C32" s="3" t="s">
        <v>96</v>
      </c>
      <c r="D32" s="3" t="s">
        <v>110</v>
      </c>
      <c r="E32" s="3">
        <v>40</v>
      </c>
      <c r="F32" s="3">
        <v>146</v>
      </c>
      <c r="G32" s="3">
        <v>90</v>
      </c>
      <c r="H32" s="3">
        <v>50</v>
      </c>
      <c r="I32" s="4">
        <v>13140</v>
      </c>
      <c r="J32" s="4">
        <v>7300</v>
      </c>
      <c r="K32" s="4">
        <v>5840</v>
      </c>
    </row>
    <row r="33" spans="1:11">
      <c r="A33" s="2" t="s">
        <v>165</v>
      </c>
      <c r="B33" s="3" t="s">
        <v>105</v>
      </c>
      <c r="C33" s="3" t="s">
        <v>96</v>
      </c>
      <c r="D33" s="3" t="s">
        <v>112</v>
      </c>
      <c r="E33" s="3">
        <v>41</v>
      </c>
      <c r="F33" s="3">
        <v>196</v>
      </c>
      <c r="G33" s="3">
        <v>90</v>
      </c>
      <c r="H33" s="3">
        <v>50</v>
      </c>
      <c r="I33" s="4">
        <v>17640</v>
      </c>
      <c r="J33" s="4">
        <v>9800</v>
      </c>
      <c r="K33" s="4">
        <v>7840</v>
      </c>
    </row>
    <row r="34" spans="1:11">
      <c r="A34" s="2" t="s">
        <v>166</v>
      </c>
      <c r="B34" s="3" t="s">
        <v>103</v>
      </c>
      <c r="C34" s="3" t="s">
        <v>93</v>
      </c>
      <c r="D34" s="3" t="s">
        <v>112</v>
      </c>
      <c r="E34" s="3">
        <v>38</v>
      </c>
      <c r="F34" s="3">
        <v>177</v>
      </c>
      <c r="G34" s="3">
        <v>100</v>
      </c>
      <c r="H34" s="3">
        <v>55</v>
      </c>
      <c r="I34" s="4">
        <v>17700</v>
      </c>
      <c r="J34" s="4">
        <v>9735</v>
      </c>
      <c r="K34" s="4">
        <v>7965</v>
      </c>
    </row>
    <row r="35" spans="1:11">
      <c r="A35" s="2" t="s">
        <v>167</v>
      </c>
      <c r="B35" s="3" t="s">
        <v>105</v>
      </c>
      <c r="C35" s="3" t="s">
        <v>98</v>
      </c>
      <c r="D35" s="3" t="s">
        <v>111</v>
      </c>
      <c r="E35" s="3">
        <v>24</v>
      </c>
      <c r="F35" s="3">
        <v>59</v>
      </c>
      <c r="G35" s="3">
        <v>100</v>
      </c>
      <c r="H35" s="3">
        <v>55</v>
      </c>
      <c r="I35" s="4">
        <v>5900</v>
      </c>
      <c r="J35" s="4">
        <v>3245</v>
      </c>
      <c r="K35" s="4">
        <v>2655</v>
      </c>
    </row>
    <row r="36" spans="1:11">
      <c r="A36" s="2" t="s">
        <v>168</v>
      </c>
      <c r="B36" s="3" t="s">
        <v>105</v>
      </c>
      <c r="C36" s="3" t="s">
        <v>93</v>
      </c>
      <c r="D36" s="3" t="s">
        <v>111</v>
      </c>
      <c r="E36" s="3">
        <v>26</v>
      </c>
      <c r="F36" s="3">
        <v>89</v>
      </c>
      <c r="G36" s="3">
        <v>100</v>
      </c>
      <c r="H36" s="3">
        <v>55</v>
      </c>
      <c r="I36" s="4">
        <v>8900</v>
      </c>
      <c r="J36" s="4">
        <v>4895</v>
      </c>
      <c r="K36" s="4">
        <v>4005</v>
      </c>
    </row>
    <row r="37" spans="1:11">
      <c r="A37" s="2" t="s">
        <v>169</v>
      </c>
      <c r="B37" s="3" t="s">
        <v>106</v>
      </c>
      <c r="C37" s="3" t="s">
        <v>97</v>
      </c>
      <c r="D37" s="3" t="s">
        <v>111</v>
      </c>
      <c r="E37" s="3">
        <v>24</v>
      </c>
      <c r="F37" s="3">
        <v>41</v>
      </c>
      <c r="G37" s="3">
        <v>130</v>
      </c>
      <c r="H37" s="3">
        <v>70</v>
      </c>
      <c r="I37" s="4">
        <v>5330</v>
      </c>
      <c r="J37" s="4">
        <v>2870</v>
      </c>
      <c r="K37" s="4">
        <v>2460</v>
      </c>
    </row>
    <row r="38" spans="1:11">
      <c r="A38" s="2" t="s">
        <v>170</v>
      </c>
      <c r="B38" s="3" t="s">
        <v>105</v>
      </c>
      <c r="C38" s="3" t="s">
        <v>93</v>
      </c>
      <c r="D38" s="3" t="s">
        <v>111</v>
      </c>
      <c r="E38" s="3">
        <v>25</v>
      </c>
      <c r="F38" s="3">
        <v>29</v>
      </c>
      <c r="G38" s="3">
        <v>100</v>
      </c>
      <c r="H38" s="3">
        <v>55</v>
      </c>
      <c r="I38" s="4">
        <v>2900</v>
      </c>
      <c r="J38" s="4">
        <v>1595</v>
      </c>
      <c r="K38" s="4">
        <v>1305</v>
      </c>
    </row>
    <row r="39" spans="1:11">
      <c r="A39" s="2" t="s">
        <v>142</v>
      </c>
      <c r="B39" s="3" t="s">
        <v>105</v>
      </c>
      <c r="C39" s="3" t="s">
        <v>95</v>
      </c>
      <c r="D39" s="3" t="s">
        <v>110</v>
      </c>
      <c r="E39" s="3">
        <v>29</v>
      </c>
      <c r="F39" s="3">
        <v>101</v>
      </c>
      <c r="G39" s="3">
        <v>110</v>
      </c>
      <c r="H39" s="3">
        <v>60</v>
      </c>
      <c r="I39" s="4">
        <v>11110</v>
      </c>
      <c r="J39" s="4">
        <v>6060</v>
      </c>
      <c r="K39" s="4">
        <v>5050</v>
      </c>
    </row>
    <row r="40" spans="1:11">
      <c r="A40" s="2" t="s">
        <v>171</v>
      </c>
      <c r="B40" s="3" t="s">
        <v>103</v>
      </c>
      <c r="C40" s="3" t="s">
        <v>96</v>
      </c>
      <c r="D40" s="3" t="s">
        <v>110</v>
      </c>
      <c r="E40" s="3">
        <v>40</v>
      </c>
      <c r="F40" s="3">
        <v>148</v>
      </c>
      <c r="G40" s="3">
        <v>90</v>
      </c>
      <c r="H40" s="3">
        <v>50</v>
      </c>
      <c r="I40" s="4">
        <v>13320</v>
      </c>
      <c r="J40" s="4">
        <v>7400</v>
      </c>
      <c r="K40" s="4">
        <v>5920</v>
      </c>
    </row>
    <row r="41" spans="1:11">
      <c r="A41" s="2" t="s">
        <v>172</v>
      </c>
      <c r="B41" s="3" t="s">
        <v>103</v>
      </c>
      <c r="C41" s="3" t="s">
        <v>93</v>
      </c>
      <c r="D41" s="3" t="s">
        <v>110</v>
      </c>
      <c r="E41" s="3">
        <v>26</v>
      </c>
      <c r="F41" s="3">
        <v>44</v>
      </c>
      <c r="G41" s="3">
        <v>100</v>
      </c>
      <c r="H41" s="3">
        <v>55</v>
      </c>
      <c r="I41" s="4">
        <v>4400</v>
      </c>
      <c r="J41" s="4">
        <v>2420</v>
      </c>
      <c r="K41" s="4">
        <v>1980</v>
      </c>
    </row>
    <row r="42" spans="1:11">
      <c r="A42" s="2" t="s">
        <v>173</v>
      </c>
      <c r="B42" s="3" t="s">
        <v>104</v>
      </c>
      <c r="C42" s="3" t="s">
        <v>94</v>
      </c>
      <c r="D42" s="3" t="s">
        <v>110</v>
      </c>
      <c r="E42" s="3">
        <v>39</v>
      </c>
      <c r="F42" s="3">
        <v>177</v>
      </c>
      <c r="G42" s="3">
        <v>80</v>
      </c>
      <c r="H42" s="3">
        <v>45</v>
      </c>
      <c r="I42" s="4">
        <v>14160</v>
      </c>
      <c r="J42" s="4">
        <v>7965</v>
      </c>
      <c r="K42" s="4">
        <v>6195</v>
      </c>
    </row>
    <row r="43" spans="1:11">
      <c r="A43" s="2" t="s">
        <v>174</v>
      </c>
      <c r="B43" s="3" t="s">
        <v>103</v>
      </c>
      <c r="C43" s="3" t="s">
        <v>95</v>
      </c>
      <c r="D43" s="3" t="s">
        <v>111</v>
      </c>
      <c r="E43" s="3">
        <v>37</v>
      </c>
      <c r="F43" s="3">
        <v>164</v>
      </c>
      <c r="G43" s="3">
        <v>110</v>
      </c>
      <c r="H43" s="3">
        <v>60</v>
      </c>
      <c r="I43" s="4">
        <v>18040</v>
      </c>
      <c r="J43" s="4">
        <v>9840</v>
      </c>
      <c r="K43" s="4">
        <v>8200</v>
      </c>
    </row>
    <row r="44" spans="1:11">
      <c r="A44" s="2" t="s">
        <v>175</v>
      </c>
      <c r="B44" s="3" t="s">
        <v>106</v>
      </c>
      <c r="C44" s="3" t="s">
        <v>94</v>
      </c>
      <c r="D44" s="3" t="s">
        <v>110</v>
      </c>
      <c r="E44" s="3">
        <v>19</v>
      </c>
      <c r="F44" s="3">
        <v>17</v>
      </c>
      <c r="G44" s="3">
        <v>80</v>
      </c>
      <c r="H44" s="3">
        <v>45</v>
      </c>
      <c r="I44" s="4">
        <v>1360</v>
      </c>
      <c r="J44" s="4">
        <v>765</v>
      </c>
      <c r="K44" s="4">
        <v>595</v>
      </c>
    </row>
    <row r="45" spans="1:11">
      <c r="A45" s="2" t="s">
        <v>176</v>
      </c>
      <c r="B45" s="3" t="s">
        <v>104</v>
      </c>
      <c r="C45" s="3" t="s">
        <v>96</v>
      </c>
      <c r="D45" s="3" t="s">
        <v>110</v>
      </c>
      <c r="E45" s="3">
        <v>28</v>
      </c>
      <c r="F45" s="3">
        <v>98</v>
      </c>
      <c r="G45" s="3">
        <v>90</v>
      </c>
      <c r="H45" s="3">
        <v>50</v>
      </c>
      <c r="I45" s="4">
        <v>8820</v>
      </c>
      <c r="J45" s="4">
        <v>4900</v>
      </c>
      <c r="K45" s="4">
        <v>3920</v>
      </c>
    </row>
    <row r="46" spans="1:11">
      <c r="A46" s="2" t="s">
        <v>177</v>
      </c>
      <c r="B46" s="3" t="s">
        <v>105</v>
      </c>
      <c r="C46" s="3" t="s">
        <v>94</v>
      </c>
      <c r="D46" s="3" t="s">
        <v>110</v>
      </c>
      <c r="E46" s="3">
        <v>22</v>
      </c>
      <c r="F46" s="3">
        <v>37</v>
      </c>
      <c r="G46" s="3">
        <v>80</v>
      </c>
      <c r="H46" s="3">
        <v>45</v>
      </c>
      <c r="I46" s="4">
        <v>2960</v>
      </c>
      <c r="J46" s="4">
        <v>1665</v>
      </c>
      <c r="K46" s="4">
        <v>1295</v>
      </c>
    </row>
    <row r="47" spans="1:11">
      <c r="A47" s="2" t="s">
        <v>178</v>
      </c>
      <c r="B47" s="3" t="s">
        <v>103</v>
      </c>
      <c r="C47" s="3" t="s">
        <v>93</v>
      </c>
      <c r="D47" s="3" t="s">
        <v>112</v>
      </c>
      <c r="E47" s="3">
        <v>22</v>
      </c>
      <c r="F47" s="3">
        <v>58</v>
      </c>
      <c r="G47" s="3">
        <v>100</v>
      </c>
      <c r="H47" s="3">
        <v>55</v>
      </c>
      <c r="I47" s="4">
        <v>5800</v>
      </c>
      <c r="J47" s="4">
        <v>3190</v>
      </c>
      <c r="K47" s="4">
        <v>2610</v>
      </c>
    </row>
    <row r="48" spans="1:11">
      <c r="A48" s="2" t="s">
        <v>179</v>
      </c>
      <c r="B48" s="3" t="s">
        <v>106</v>
      </c>
      <c r="C48" s="3" t="s">
        <v>97</v>
      </c>
      <c r="D48" s="3" t="s">
        <v>110</v>
      </c>
      <c r="E48" s="3">
        <v>33</v>
      </c>
      <c r="F48" s="3">
        <v>116</v>
      </c>
      <c r="G48" s="3">
        <v>130</v>
      </c>
      <c r="H48" s="3">
        <v>70</v>
      </c>
      <c r="I48" s="4">
        <v>15080</v>
      </c>
      <c r="J48" s="4">
        <v>8120</v>
      </c>
      <c r="K48" s="4">
        <v>6960</v>
      </c>
    </row>
    <row r="49" spans="1:11">
      <c r="A49" s="2" t="s">
        <v>180</v>
      </c>
      <c r="B49" s="3" t="s">
        <v>106</v>
      </c>
      <c r="C49" s="3" t="s">
        <v>93</v>
      </c>
      <c r="D49" s="3" t="s">
        <v>112</v>
      </c>
      <c r="E49" s="3">
        <v>33</v>
      </c>
      <c r="F49" s="3">
        <v>75</v>
      </c>
      <c r="G49" s="3">
        <v>100</v>
      </c>
      <c r="H49" s="3">
        <v>55</v>
      </c>
      <c r="I49" s="4">
        <v>7500</v>
      </c>
      <c r="J49" s="4">
        <v>4125</v>
      </c>
      <c r="K49" s="4">
        <v>3375</v>
      </c>
    </row>
    <row r="50" spans="1:11">
      <c r="A50" s="2" t="s">
        <v>181</v>
      </c>
      <c r="B50" s="3" t="s">
        <v>106</v>
      </c>
      <c r="C50" s="3" t="s">
        <v>96</v>
      </c>
      <c r="D50" s="3" t="s">
        <v>110</v>
      </c>
      <c r="E50" s="3">
        <v>41</v>
      </c>
      <c r="F50" s="3">
        <v>179</v>
      </c>
      <c r="G50" s="3">
        <v>90</v>
      </c>
      <c r="H50" s="3">
        <v>50</v>
      </c>
      <c r="I50" s="4">
        <v>16110</v>
      </c>
      <c r="J50" s="4">
        <v>8950</v>
      </c>
      <c r="K50" s="4">
        <v>7160</v>
      </c>
    </row>
    <row r="51" spans="1:11">
      <c r="A51" s="2" t="s">
        <v>182</v>
      </c>
      <c r="B51" s="3" t="s">
        <v>103</v>
      </c>
      <c r="C51" s="3" t="s">
        <v>98</v>
      </c>
      <c r="D51" s="3" t="s">
        <v>111</v>
      </c>
      <c r="E51" s="3">
        <v>32</v>
      </c>
      <c r="F51" s="3">
        <v>68</v>
      </c>
      <c r="G51" s="3">
        <v>100</v>
      </c>
      <c r="H51" s="3">
        <v>55</v>
      </c>
      <c r="I51" s="4">
        <v>6800</v>
      </c>
      <c r="J51" s="4">
        <v>3740</v>
      </c>
      <c r="K51" s="4">
        <v>3060</v>
      </c>
    </row>
    <row r="52" spans="1:11">
      <c r="A52" s="2" t="s">
        <v>183</v>
      </c>
      <c r="B52" s="3" t="s">
        <v>106</v>
      </c>
      <c r="C52" s="3" t="s">
        <v>98</v>
      </c>
      <c r="D52" s="3" t="s">
        <v>112</v>
      </c>
      <c r="E52" s="3">
        <v>26</v>
      </c>
      <c r="F52" s="3">
        <v>16</v>
      </c>
      <c r="G52" s="3">
        <v>100</v>
      </c>
      <c r="H52" s="3">
        <v>55</v>
      </c>
      <c r="I52" s="4">
        <v>1600</v>
      </c>
      <c r="J52" s="4">
        <v>880</v>
      </c>
      <c r="K52" s="4">
        <v>720</v>
      </c>
    </row>
    <row r="53" spans="1:11">
      <c r="A53" s="2" t="s">
        <v>184</v>
      </c>
      <c r="B53" s="3" t="s">
        <v>105</v>
      </c>
      <c r="C53" s="3" t="s">
        <v>95</v>
      </c>
      <c r="D53" s="3" t="s">
        <v>111</v>
      </c>
      <c r="E53" s="3">
        <v>28</v>
      </c>
      <c r="F53" s="3">
        <v>45</v>
      </c>
      <c r="G53" s="3">
        <v>110</v>
      </c>
      <c r="H53" s="3">
        <v>60</v>
      </c>
      <c r="I53" s="4">
        <v>4950</v>
      </c>
      <c r="J53" s="4">
        <v>2700</v>
      </c>
      <c r="K53" s="4">
        <v>2250</v>
      </c>
    </row>
    <row r="54" spans="1:11">
      <c r="A54" s="2" t="s">
        <v>185</v>
      </c>
      <c r="B54" s="3" t="s">
        <v>103</v>
      </c>
      <c r="C54" s="3" t="s">
        <v>93</v>
      </c>
      <c r="D54" s="3" t="s">
        <v>111</v>
      </c>
      <c r="E54" s="3">
        <v>34</v>
      </c>
      <c r="F54" s="3">
        <v>135</v>
      </c>
      <c r="G54" s="3">
        <v>100</v>
      </c>
      <c r="H54" s="3">
        <v>55</v>
      </c>
      <c r="I54" s="4">
        <v>13500</v>
      </c>
      <c r="J54" s="4">
        <v>7425</v>
      </c>
      <c r="K54" s="4">
        <v>6075</v>
      </c>
    </row>
    <row r="55" spans="1:11">
      <c r="A55" s="2" t="s">
        <v>186</v>
      </c>
      <c r="B55" s="3" t="s">
        <v>106</v>
      </c>
      <c r="C55" s="3" t="s">
        <v>94</v>
      </c>
      <c r="D55" s="3" t="s">
        <v>111</v>
      </c>
      <c r="E55" s="3">
        <v>37</v>
      </c>
      <c r="F55" s="3">
        <v>107</v>
      </c>
      <c r="G55" s="3">
        <v>80</v>
      </c>
      <c r="H55" s="3">
        <v>45</v>
      </c>
      <c r="I55" s="4">
        <v>8560</v>
      </c>
      <c r="J55" s="4">
        <v>4815</v>
      </c>
      <c r="K55" s="4">
        <v>3745</v>
      </c>
    </row>
    <row r="56" spans="1:11">
      <c r="A56" s="2" t="s">
        <v>187</v>
      </c>
      <c r="B56" s="3" t="s">
        <v>106</v>
      </c>
      <c r="C56" s="3" t="s">
        <v>94</v>
      </c>
      <c r="D56" s="3" t="s">
        <v>110</v>
      </c>
      <c r="E56" s="3">
        <v>30</v>
      </c>
      <c r="F56" s="3">
        <v>89</v>
      </c>
      <c r="G56" s="3">
        <v>80</v>
      </c>
      <c r="H56" s="3">
        <v>45</v>
      </c>
      <c r="I56" s="4">
        <v>7120</v>
      </c>
      <c r="J56" s="4">
        <v>4005</v>
      </c>
      <c r="K56" s="4">
        <v>3115</v>
      </c>
    </row>
    <row r="57" spans="1:11">
      <c r="A57" s="2" t="s">
        <v>141</v>
      </c>
      <c r="B57" s="3" t="s">
        <v>103</v>
      </c>
      <c r="C57" s="3" t="s">
        <v>95</v>
      </c>
      <c r="D57" s="3" t="s">
        <v>111</v>
      </c>
      <c r="E57" s="3">
        <v>31</v>
      </c>
      <c r="F57" s="3">
        <v>97</v>
      </c>
      <c r="G57" s="3">
        <v>110</v>
      </c>
      <c r="H57" s="3">
        <v>60</v>
      </c>
      <c r="I57" s="4">
        <v>10670</v>
      </c>
      <c r="J57" s="4">
        <v>5820</v>
      </c>
      <c r="K57" s="4">
        <v>4850</v>
      </c>
    </row>
    <row r="58" spans="1:11">
      <c r="A58" s="2" t="s">
        <v>188</v>
      </c>
      <c r="B58" s="3" t="s">
        <v>104</v>
      </c>
      <c r="C58" s="3" t="s">
        <v>94</v>
      </c>
      <c r="D58" s="3" t="s">
        <v>111</v>
      </c>
      <c r="E58" s="3">
        <v>21</v>
      </c>
      <c r="F58" s="3">
        <v>49</v>
      </c>
      <c r="G58" s="3">
        <v>80</v>
      </c>
      <c r="H58" s="3">
        <v>45</v>
      </c>
      <c r="I58" s="4">
        <v>3920</v>
      </c>
      <c r="J58" s="4">
        <v>2205</v>
      </c>
      <c r="K58" s="4">
        <v>1715</v>
      </c>
    </row>
    <row r="59" spans="1:11">
      <c r="A59" s="2" t="s">
        <v>189</v>
      </c>
      <c r="B59" s="3" t="s">
        <v>104</v>
      </c>
      <c r="C59" s="3" t="s">
        <v>97</v>
      </c>
      <c r="D59" s="3" t="s">
        <v>110</v>
      </c>
      <c r="E59" s="3">
        <v>39</v>
      </c>
      <c r="F59" s="3">
        <v>194</v>
      </c>
      <c r="G59" s="3">
        <v>130</v>
      </c>
      <c r="H59" s="3">
        <v>70</v>
      </c>
      <c r="I59" s="4">
        <v>25220</v>
      </c>
      <c r="J59" s="4">
        <v>13580</v>
      </c>
      <c r="K59" s="4">
        <v>11640</v>
      </c>
    </row>
    <row r="60" spans="1:11">
      <c r="A60" s="2" t="s">
        <v>190</v>
      </c>
      <c r="B60" s="3" t="s">
        <v>105</v>
      </c>
      <c r="C60" s="3" t="s">
        <v>93</v>
      </c>
      <c r="D60" s="3" t="s">
        <v>110</v>
      </c>
      <c r="E60" s="3">
        <v>22</v>
      </c>
      <c r="F60" s="3">
        <v>35</v>
      </c>
      <c r="G60" s="3">
        <v>100</v>
      </c>
      <c r="H60" s="3">
        <v>55</v>
      </c>
      <c r="I60" s="4">
        <v>3500</v>
      </c>
      <c r="J60" s="4">
        <v>1925</v>
      </c>
      <c r="K60" s="4">
        <v>1575</v>
      </c>
    </row>
    <row r="61" spans="1:11">
      <c r="A61" s="2" t="s">
        <v>191</v>
      </c>
      <c r="B61" s="3" t="s">
        <v>105</v>
      </c>
      <c r="C61" s="3" t="s">
        <v>98</v>
      </c>
      <c r="D61" s="3" t="s">
        <v>110</v>
      </c>
      <c r="E61" s="3">
        <v>19</v>
      </c>
      <c r="F61" s="3">
        <v>10</v>
      </c>
      <c r="G61" s="3">
        <v>100</v>
      </c>
      <c r="H61" s="3">
        <v>55</v>
      </c>
      <c r="I61" s="4">
        <v>1000</v>
      </c>
      <c r="J61" s="4">
        <v>550</v>
      </c>
      <c r="K61" s="4">
        <v>450</v>
      </c>
    </row>
    <row r="62" spans="1:11">
      <c r="A62" s="2" t="s">
        <v>192</v>
      </c>
      <c r="B62" s="3" t="s">
        <v>105</v>
      </c>
      <c r="C62" s="3" t="s">
        <v>96</v>
      </c>
      <c r="D62" s="3" t="s">
        <v>111</v>
      </c>
      <c r="E62" s="3">
        <v>32</v>
      </c>
      <c r="F62" s="3">
        <v>166</v>
      </c>
      <c r="G62" s="3">
        <v>90</v>
      </c>
      <c r="H62" s="3">
        <v>50</v>
      </c>
      <c r="I62" s="4">
        <v>14940</v>
      </c>
      <c r="J62" s="4">
        <v>8300</v>
      </c>
      <c r="K62" s="4">
        <v>6640</v>
      </c>
    </row>
    <row r="63" spans="1:11">
      <c r="A63" s="2" t="s">
        <v>193</v>
      </c>
      <c r="B63" s="3" t="s">
        <v>105</v>
      </c>
      <c r="C63" s="3" t="s">
        <v>96</v>
      </c>
      <c r="D63" s="3" t="s">
        <v>110</v>
      </c>
      <c r="E63" s="3">
        <v>28</v>
      </c>
      <c r="F63" s="3">
        <v>96</v>
      </c>
      <c r="G63" s="3">
        <v>90</v>
      </c>
      <c r="H63" s="3">
        <v>50</v>
      </c>
      <c r="I63" s="4">
        <v>8640</v>
      </c>
      <c r="J63" s="4">
        <v>4800</v>
      </c>
      <c r="K63" s="4">
        <v>3840</v>
      </c>
    </row>
    <row r="64" spans="1:11">
      <c r="A64" s="2" t="s">
        <v>194</v>
      </c>
      <c r="B64" s="3" t="s">
        <v>103</v>
      </c>
      <c r="C64" s="3" t="s">
        <v>94</v>
      </c>
      <c r="D64" s="3" t="s">
        <v>110</v>
      </c>
      <c r="E64" s="3">
        <v>35</v>
      </c>
      <c r="F64" s="3">
        <v>143</v>
      </c>
      <c r="G64" s="3">
        <v>80</v>
      </c>
      <c r="H64" s="3">
        <v>45</v>
      </c>
      <c r="I64" s="4">
        <v>11440</v>
      </c>
      <c r="J64" s="4">
        <v>6435</v>
      </c>
      <c r="K64" s="4">
        <v>5005</v>
      </c>
    </row>
    <row r="65" spans="1:11">
      <c r="A65" s="2" t="s">
        <v>195</v>
      </c>
      <c r="B65" s="3" t="s">
        <v>105</v>
      </c>
      <c r="C65" s="3" t="s">
        <v>94</v>
      </c>
      <c r="D65" s="3" t="s">
        <v>111</v>
      </c>
      <c r="E65" s="3">
        <v>30</v>
      </c>
      <c r="F65" s="3">
        <v>62</v>
      </c>
      <c r="G65" s="3">
        <v>80</v>
      </c>
      <c r="H65" s="3">
        <v>45</v>
      </c>
      <c r="I65" s="4">
        <v>4960</v>
      </c>
      <c r="J65" s="4">
        <v>2790</v>
      </c>
      <c r="K65" s="4">
        <v>2170</v>
      </c>
    </row>
    <row r="66" spans="1:11">
      <c r="A66" s="2" t="s">
        <v>196</v>
      </c>
      <c r="B66" s="3" t="s">
        <v>106</v>
      </c>
      <c r="C66" s="3" t="s">
        <v>94</v>
      </c>
      <c r="D66" s="3" t="s">
        <v>112</v>
      </c>
      <c r="E66" s="3">
        <v>27</v>
      </c>
      <c r="F66" s="3">
        <v>40</v>
      </c>
      <c r="G66" s="3">
        <v>80</v>
      </c>
      <c r="H66" s="3">
        <v>45</v>
      </c>
      <c r="I66" s="4">
        <v>3200</v>
      </c>
      <c r="J66" s="4">
        <v>1800</v>
      </c>
      <c r="K66" s="4">
        <v>1400</v>
      </c>
    </row>
    <row r="67" spans="1:11">
      <c r="A67" s="2" t="s">
        <v>197</v>
      </c>
      <c r="B67" s="3" t="s">
        <v>104</v>
      </c>
      <c r="C67" s="3" t="s">
        <v>97</v>
      </c>
      <c r="D67" s="3" t="s">
        <v>111</v>
      </c>
      <c r="E67" s="3">
        <v>33</v>
      </c>
      <c r="F67" s="3">
        <v>33</v>
      </c>
      <c r="G67" s="3">
        <v>130</v>
      </c>
      <c r="H67" s="3">
        <v>70</v>
      </c>
      <c r="I67" s="4">
        <v>4290</v>
      </c>
      <c r="J67" s="4">
        <v>2310</v>
      </c>
      <c r="K67" s="4">
        <v>1980</v>
      </c>
    </row>
    <row r="68" spans="1:11">
      <c r="A68" s="2" t="s">
        <v>198</v>
      </c>
      <c r="B68" s="3" t="s">
        <v>103</v>
      </c>
      <c r="C68" s="3" t="s">
        <v>96</v>
      </c>
      <c r="D68" s="3" t="s">
        <v>111</v>
      </c>
      <c r="E68" s="3">
        <v>21</v>
      </c>
      <c r="F68" s="3">
        <v>36</v>
      </c>
      <c r="G68" s="3">
        <v>90</v>
      </c>
      <c r="H68" s="3">
        <v>50</v>
      </c>
      <c r="I68" s="4">
        <v>3240</v>
      </c>
      <c r="J68" s="4">
        <v>1800</v>
      </c>
      <c r="K68" s="4">
        <v>1440</v>
      </c>
    </row>
    <row r="69" spans="1:11">
      <c r="A69" s="2" t="s">
        <v>136</v>
      </c>
      <c r="B69" s="3" t="s">
        <v>104</v>
      </c>
      <c r="C69" s="3" t="s">
        <v>95</v>
      </c>
      <c r="D69" s="3" t="s">
        <v>110</v>
      </c>
      <c r="E69" s="3">
        <v>34</v>
      </c>
      <c r="F69" s="3">
        <v>150</v>
      </c>
      <c r="G69" s="3">
        <v>110</v>
      </c>
      <c r="H69" s="3">
        <v>60</v>
      </c>
      <c r="I69" s="4">
        <v>16500</v>
      </c>
      <c r="J69" s="4">
        <v>9000</v>
      </c>
      <c r="K69" s="4">
        <v>7500</v>
      </c>
    </row>
    <row r="70" spans="1:11">
      <c r="A70" s="2" t="s">
        <v>199</v>
      </c>
      <c r="B70" s="3" t="s">
        <v>106</v>
      </c>
      <c r="C70" s="3" t="s">
        <v>97</v>
      </c>
      <c r="D70" s="3" t="s">
        <v>110</v>
      </c>
      <c r="E70" s="3">
        <v>33</v>
      </c>
      <c r="F70" s="3">
        <v>190</v>
      </c>
      <c r="G70" s="3">
        <v>130</v>
      </c>
      <c r="H70" s="3">
        <v>70</v>
      </c>
      <c r="I70" s="4">
        <v>24700</v>
      </c>
      <c r="J70" s="4">
        <v>13300</v>
      </c>
      <c r="K70" s="4">
        <v>11400</v>
      </c>
    </row>
    <row r="71" spans="1:11">
      <c r="A71" s="2" t="s">
        <v>200</v>
      </c>
      <c r="B71" s="3" t="s">
        <v>105</v>
      </c>
      <c r="C71" s="3" t="s">
        <v>94</v>
      </c>
      <c r="D71" s="3" t="s">
        <v>110</v>
      </c>
      <c r="E71" s="3">
        <v>27</v>
      </c>
      <c r="F71" s="3">
        <v>37</v>
      </c>
      <c r="G71" s="3">
        <v>80</v>
      </c>
      <c r="H71" s="3">
        <v>45</v>
      </c>
      <c r="I71" s="4">
        <v>2960</v>
      </c>
      <c r="J71" s="4">
        <v>1665</v>
      </c>
      <c r="K71" s="4">
        <v>1295</v>
      </c>
    </row>
    <row r="72" spans="1:11">
      <c r="A72" s="2" t="s">
        <v>201</v>
      </c>
      <c r="B72" s="3" t="s">
        <v>103</v>
      </c>
      <c r="C72" s="3" t="s">
        <v>93</v>
      </c>
      <c r="D72" s="3" t="s">
        <v>111</v>
      </c>
      <c r="E72" s="3">
        <v>39</v>
      </c>
      <c r="F72" s="3">
        <v>124</v>
      </c>
      <c r="G72" s="3">
        <v>100</v>
      </c>
      <c r="H72" s="3">
        <v>55</v>
      </c>
      <c r="I72" s="4">
        <v>12400</v>
      </c>
      <c r="J72" s="4">
        <v>6820</v>
      </c>
      <c r="K72" s="4">
        <v>5580</v>
      </c>
    </row>
    <row r="73" spans="1:11">
      <c r="A73" s="2" t="s">
        <v>145</v>
      </c>
      <c r="B73" s="3" t="s">
        <v>103</v>
      </c>
      <c r="C73" s="3" t="s">
        <v>98</v>
      </c>
      <c r="D73" s="3" t="s">
        <v>110</v>
      </c>
      <c r="E73" s="3">
        <v>33</v>
      </c>
      <c r="F73" s="3">
        <v>102</v>
      </c>
      <c r="G73" s="3">
        <v>100</v>
      </c>
      <c r="H73" s="3">
        <v>55</v>
      </c>
      <c r="I73" s="4">
        <v>10200</v>
      </c>
      <c r="J73" s="4">
        <v>5610</v>
      </c>
      <c r="K73" s="4">
        <v>4590</v>
      </c>
    </row>
    <row r="74" spans="1:11">
      <c r="A74" s="2" t="s">
        <v>137</v>
      </c>
      <c r="B74" s="3" t="s">
        <v>105</v>
      </c>
      <c r="C74" s="3" t="s">
        <v>96</v>
      </c>
      <c r="D74" s="3" t="s">
        <v>110</v>
      </c>
      <c r="E74" s="3">
        <v>32</v>
      </c>
      <c r="F74" s="3">
        <v>53</v>
      </c>
      <c r="G74" s="3">
        <v>90</v>
      </c>
      <c r="H74" s="3">
        <v>50</v>
      </c>
      <c r="I74" s="4">
        <v>4770</v>
      </c>
      <c r="J74" s="4">
        <v>2650</v>
      </c>
      <c r="K74" s="4">
        <v>2120</v>
      </c>
    </row>
    <row r="75" spans="1:11">
      <c r="A75" s="2" t="s">
        <v>202</v>
      </c>
      <c r="B75" s="3" t="s">
        <v>103</v>
      </c>
      <c r="C75" s="3" t="s">
        <v>96</v>
      </c>
      <c r="D75" s="3" t="s">
        <v>111</v>
      </c>
      <c r="E75" s="3">
        <v>34</v>
      </c>
      <c r="F75" s="3">
        <v>52</v>
      </c>
      <c r="G75" s="3">
        <v>90</v>
      </c>
      <c r="H75" s="3">
        <v>50</v>
      </c>
      <c r="I75" s="4">
        <v>4680</v>
      </c>
      <c r="J75" s="4">
        <v>2600</v>
      </c>
      <c r="K75" s="4">
        <v>2080</v>
      </c>
    </row>
    <row r="76" spans="1:11">
      <c r="A76" s="2" t="s">
        <v>203</v>
      </c>
      <c r="B76" s="3" t="s">
        <v>106</v>
      </c>
      <c r="C76" s="3" t="s">
        <v>94</v>
      </c>
      <c r="D76" s="3" t="s">
        <v>111</v>
      </c>
      <c r="E76" s="3">
        <v>26</v>
      </c>
      <c r="F76" s="3">
        <v>57</v>
      </c>
      <c r="G76" s="3">
        <v>80</v>
      </c>
      <c r="H76" s="3">
        <v>45</v>
      </c>
      <c r="I76" s="4">
        <v>4560</v>
      </c>
      <c r="J76" s="4">
        <v>2565</v>
      </c>
      <c r="K76" s="4">
        <v>1995</v>
      </c>
    </row>
    <row r="77" spans="1:11">
      <c r="A77" s="2" t="s">
        <v>204</v>
      </c>
      <c r="B77" s="3" t="s">
        <v>103</v>
      </c>
      <c r="C77" s="3" t="s">
        <v>93</v>
      </c>
      <c r="D77" s="3" t="s">
        <v>110</v>
      </c>
      <c r="E77" s="3">
        <v>20</v>
      </c>
      <c r="F77" s="3">
        <v>50</v>
      </c>
      <c r="G77" s="3">
        <v>100</v>
      </c>
      <c r="H77" s="3">
        <v>55</v>
      </c>
      <c r="I77" s="4">
        <v>5000</v>
      </c>
      <c r="J77" s="4">
        <v>2750</v>
      </c>
      <c r="K77" s="4">
        <v>2250</v>
      </c>
    </row>
    <row r="78" spans="1:11">
      <c r="A78" s="2" t="s">
        <v>205</v>
      </c>
      <c r="B78" s="3" t="s">
        <v>106</v>
      </c>
      <c r="C78" s="3" t="s">
        <v>93</v>
      </c>
      <c r="D78" s="3" t="s">
        <v>111</v>
      </c>
      <c r="E78" s="3">
        <v>34</v>
      </c>
      <c r="F78" s="3">
        <v>101</v>
      </c>
      <c r="G78" s="3">
        <v>100</v>
      </c>
      <c r="H78" s="3">
        <v>55</v>
      </c>
      <c r="I78" s="4">
        <v>10100</v>
      </c>
      <c r="J78" s="4">
        <v>5555</v>
      </c>
      <c r="K78" s="4">
        <v>4545</v>
      </c>
    </row>
    <row r="79" spans="1:11">
      <c r="A79" s="2" t="s">
        <v>189</v>
      </c>
      <c r="B79" s="3" t="s">
        <v>103</v>
      </c>
      <c r="C79" s="3" t="s">
        <v>93</v>
      </c>
      <c r="D79" s="3" t="s">
        <v>110</v>
      </c>
      <c r="E79" s="3">
        <v>36</v>
      </c>
      <c r="F79" s="3">
        <v>172</v>
      </c>
      <c r="G79" s="3">
        <v>100</v>
      </c>
      <c r="H79" s="3">
        <v>55</v>
      </c>
      <c r="I79" s="4">
        <v>17200</v>
      </c>
      <c r="J79" s="4">
        <v>9460</v>
      </c>
      <c r="K79" s="4">
        <v>7740</v>
      </c>
    </row>
    <row r="80" spans="1:11">
      <c r="A80" s="2" t="s">
        <v>162</v>
      </c>
      <c r="B80" s="3" t="s">
        <v>105</v>
      </c>
      <c r="C80" s="3" t="s">
        <v>95</v>
      </c>
      <c r="D80" s="3" t="s">
        <v>110</v>
      </c>
      <c r="E80" s="3">
        <v>32</v>
      </c>
      <c r="F80" s="3">
        <v>71</v>
      </c>
      <c r="G80" s="3">
        <v>110</v>
      </c>
      <c r="H80" s="3">
        <v>60</v>
      </c>
      <c r="I80" s="4">
        <v>7810</v>
      </c>
      <c r="J80" s="4">
        <v>4260</v>
      </c>
      <c r="K80" s="4">
        <v>3550</v>
      </c>
    </row>
    <row r="81" spans="1:11">
      <c r="A81" s="2" t="s">
        <v>206</v>
      </c>
      <c r="B81" s="3" t="s">
        <v>105</v>
      </c>
      <c r="C81" s="3" t="s">
        <v>94</v>
      </c>
      <c r="D81" s="3" t="s">
        <v>111</v>
      </c>
      <c r="E81" s="3">
        <v>27</v>
      </c>
      <c r="F81" s="3">
        <v>104</v>
      </c>
      <c r="G81" s="3">
        <v>80</v>
      </c>
      <c r="H81" s="3">
        <v>45</v>
      </c>
      <c r="I81" s="4">
        <v>8320</v>
      </c>
      <c r="J81" s="4">
        <v>4680</v>
      </c>
      <c r="K81" s="4">
        <v>3640</v>
      </c>
    </row>
    <row r="82" spans="1:11">
      <c r="A82" s="2" t="s">
        <v>207</v>
      </c>
      <c r="B82" s="3" t="s">
        <v>105</v>
      </c>
      <c r="C82" s="3" t="s">
        <v>94</v>
      </c>
      <c r="D82" s="3" t="s">
        <v>111</v>
      </c>
      <c r="E82" s="3">
        <v>33</v>
      </c>
      <c r="F82" s="3">
        <v>36</v>
      </c>
      <c r="G82" s="3">
        <v>80</v>
      </c>
      <c r="H82" s="3">
        <v>45</v>
      </c>
      <c r="I82" s="4">
        <v>2880</v>
      </c>
      <c r="J82" s="4">
        <v>1620</v>
      </c>
      <c r="K82" s="4">
        <v>1260</v>
      </c>
    </row>
    <row r="83" spans="1:11">
      <c r="A83" s="2" t="s">
        <v>208</v>
      </c>
      <c r="B83" s="3" t="s">
        <v>106</v>
      </c>
      <c r="C83" s="3" t="s">
        <v>93</v>
      </c>
      <c r="D83" s="3" t="s">
        <v>110</v>
      </c>
      <c r="E83" s="3">
        <v>36</v>
      </c>
      <c r="F83" s="3">
        <v>78</v>
      </c>
      <c r="G83" s="3">
        <v>100</v>
      </c>
      <c r="H83" s="3">
        <v>55</v>
      </c>
      <c r="I83" s="4">
        <v>7800</v>
      </c>
      <c r="J83" s="4">
        <v>4290</v>
      </c>
      <c r="K83" s="4">
        <v>3510</v>
      </c>
    </row>
    <row r="84" spans="1:11">
      <c r="A84" s="2" t="s">
        <v>209</v>
      </c>
      <c r="B84" s="3" t="s">
        <v>106</v>
      </c>
      <c r="C84" s="3" t="s">
        <v>96</v>
      </c>
      <c r="D84" s="3" t="s">
        <v>112</v>
      </c>
      <c r="E84" s="3">
        <v>24</v>
      </c>
      <c r="F84" s="3">
        <v>26</v>
      </c>
      <c r="G84" s="3">
        <v>90</v>
      </c>
      <c r="H84" s="3">
        <v>50</v>
      </c>
      <c r="I84" s="4">
        <v>2340</v>
      </c>
      <c r="J84" s="4">
        <v>1300</v>
      </c>
      <c r="K84" s="4">
        <v>1040</v>
      </c>
    </row>
    <row r="85" spans="1:11">
      <c r="A85" s="2" t="s">
        <v>145</v>
      </c>
      <c r="B85" s="3" t="s">
        <v>104</v>
      </c>
      <c r="C85" s="3" t="s">
        <v>96</v>
      </c>
      <c r="D85" s="3" t="s">
        <v>111</v>
      </c>
      <c r="E85" s="3">
        <v>31</v>
      </c>
      <c r="F85" s="3">
        <v>48</v>
      </c>
      <c r="G85" s="3">
        <v>90</v>
      </c>
      <c r="H85" s="3">
        <v>50</v>
      </c>
      <c r="I85" s="4">
        <v>4320</v>
      </c>
      <c r="J85" s="4">
        <v>2400</v>
      </c>
      <c r="K85" s="4">
        <v>1920</v>
      </c>
    </row>
    <row r="86" spans="1:11">
      <c r="A86" s="2" t="s">
        <v>210</v>
      </c>
      <c r="B86" s="3" t="s">
        <v>106</v>
      </c>
      <c r="C86" s="3" t="s">
        <v>93</v>
      </c>
      <c r="D86" s="3" t="s">
        <v>110</v>
      </c>
      <c r="E86" s="3">
        <v>33</v>
      </c>
      <c r="F86" s="3">
        <v>190</v>
      </c>
      <c r="G86" s="3">
        <v>100</v>
      </c>
      <c r="H86" s="3">
        <v>55</v>
      </c>
      <c r="I86" s="4">
        <v>19000</v>
      </c>
      <c r="J86" s="4">
        <v>10450</v>
      </c>
      <c r="K86" s="4">
        <v>8550</v>
      </c>
    </row>
    <row r="87" spans="1:11">
      <c r="A87" s="2" t="s">
        <v>161</v>
      </c>
      <c r="B87" s="3" t="s">
        <v>105</v>
      </c>
      <c r="C87" s="3" t="s">
        <v>96</v>
      </c>
      <c r="D87" s="3" t="s">
        <v>111</v>
      </c>
      <c r="E87" s="3">
        <v>26</v>
      </c>
      <c r="F87" s="3">
        <v>68</v>
      </c>
      <c r="G87" s="3">
        <v>90</v>
      </c>
      <c r="H87" s="3">
        <v>50</v>
      </c>
      <c r="I87" s="4">
        <v>6120</v>
      </c>
      <c r="J87" s="4">
        <v>3400</v>
      </c>
      <c r="K87" s="4">
        <v>2720</v>
      </c>
    </row>
    <row r="88" spans="1:11">
      <c r="A88" s="2" t="s">
        <v>156</v>
      </c>
      <c r="B88" s="3" t="s">
        <v>104</v>
      </c>
      <c r="C88" s="3" t="s">
        <v>97</v>
      </c>
      <c r="D88" s="3" t="s">
        <v>110</v>
      </c>
      <c r="E88" s="3">
        <v>23</v>
      </c>
      <c r="F88" s="3">
        <v>42</v>
      </c>
      <c r="G88" s="3">
        <v>130</v>
      </c>
      <c r="H88" s="3">
        <v>70</v>
      </c>
      <c r="I88" s="4">
        <v>5460</v>
      </c>
      <c r="J88" s="4">
        <v>2940</v>
      </c>
      <c r="K88" s="4">
        <v>2520</v>
      </c>
    </row>
    <row r="89" spans="1:11">
      <c r="A89" s="2" t="s">
        <v>211</v>
      </c>
      <c r="B89" s="3" t="s">
        <v>103</v>
      </c>
      <c r="C89" s="3" t="s">
        <v>97</v>
      </c>
      <c r="D89" s="3" t="s">
        <v>112</v>
      </c>
      <c r="E89" s="3">
        <v>36</v>
      </c>
      <c r="F89" s="3">
        <v>110</v>
      </c>
      <c r="G89" s="3">
        <v>130</v>
      </c>
      <c r="H89" s="3">
        <v>70</v>
      </c>
      <c r="I89" s="4">
        <v>14300</v>
      </c>
      <c r="J89" s="4">
        <v>7700</v>
      </c>
      <c r="K89" s="4">
        <v>6600</v>
      </c>
    </row>
    <row r="90" spans="1:11">
      <c r="A90" s="2" t="s">
        <v>212</v>
      </c>
      <c r="B90" s="3" t="s">
        <v>106</v>
      </c>
      <c r="C90" s="3" t="s">
        <v>96</v>
      </c>
      <c r="D90" s="3" t="s">
        <v>110</v>
      </c>
      <c r="E90" s="3">
        <v>35</v>
      </c>
      <c r="F90" s="3">
        <v>196</v>
      </c>
      <c r="G90" s="3">
        <v>90</v>
      </c>
      <c r="H90" s="3">
        <v>50</v>
      </c>
      <c r="I90" s="4">
        <v>17640</v>
      </c>
      <c r="J90" s="4">
        <v>9800</v>
      </c>
      <c r="K90" s="4">
        <v>7840</v>
      </c>
    </row>
    <row r="91" spans="1:11">
      <c r="A91" s="2" t="s">
        <v>213</v>
      </c>
      <c r="B91" s="3" t="s">
        <v>105</v>
      </c>
      <c r="C91" s="3" t="s">
        <v>96</v>
      </c>
      <c r="D91" s="3" t="s">
        <v>110</v>
      </c>
      <c r="E91" s="3">
        <v>31</v>
      </c>
      <c r="F91" s="3">
        <v>83</v>
      </c>
      <c r="G91" s="3">
        <v>90</v>
      </c>
      <c r="H91" s="3">
        <v>50</v>
      </c>
      <c r="I91" s="4">
        <v>7470</v>
      </c>
      <c r="J91" s="4">
        <v>4150</v>
      </c>
      <c r="K91" s="4">
        <v>3320</v>
      </c>
    </row>
    <row r="92" spans="1:11">
      <c r="A92" s="2" t="s">
        <v>214</v>
      </c>
      <c r="B92" s="3" t="s">
        <v>103</v>
      </c>
      <c r="C92" s="3" t="s">
        <v>97</v>
      </c>
      <c r="D92" s="3" t="s">
        <v>110</v>
      </c>
      <c r="E92" s="3">
        <v>33</v>
      </c>
      <c r="F92" s="3">
        <v>45</v>
      </c>
      <c r="G92" s="3">
        <v>130</v>
      </c>
      <c r="H92" s="3">
        <v>70</v>
      </c>
      <c r="I92" s="4">
        <v>5850</v>
      </c>
      <c r="J92" s="4">
        <v>3150</v>
      </c>
      <c r="K92" s="4">
        <v>2700</v>
      </c>
    </row>
    <row r="93" spans="1:11">
      <c r="A93" s="2" t="s">
        <v>215</v>
      </c>
      <c r="B93" s="3" t="s">
        <v>105</v>
      </c>
      <c r="C93" s="3" t="s">
        <v>93</v>
      </c>
      <c r="D93" s="3" t="s">
        <v>110</v>
      </c>
      <c r="E93" s="3">
        <v>21</v>
      </c>
      <c r="F93" s="3">
        <v>37</v>
      </c>
      <c r="G93" s="3">
        <v>100</v>
      </c>
      <c r="H93" s="3">
        <v>55</v>
      </c>
      <c r="I93" s="4">
        <v>3700</v>
      </c>
      <c r="J93" s="4">
        <v>2035</v>
      </c>
      <c r="K93" s="4">
        <v>1665</v>
      </c>
    </row>
    <row r="94" spans="1:11">
      <c r="A94" s="2" t="s">
        <v>216</v>
      </c>
      <c r="B94" s="3" t="s">
        <v>103</v>
      </c>
      <c r="C94" s="3" t="s">
        <v>93</v>
      </c>
      <c r="D94" s="3" t="s">
        <v>110</v>
      </c>
      <c r="E94" s="3">
        <v>40</v>
      </c>
      <c r="F94" s="3">
        <v>150</v>
      </c>
      <c r="G94" s="3">
        <v>100</v>
      </c>
      <c r="H94" s="3">
        <v>55</v>
      </c>
      <c r="I94" s="4">
        <v>15000</v>
      </c>
      <c r="J94" s="4">
        <v>8250</v>
      </c>
      <c r="K94" s="4">
        <v>6750</v>
      </c>
    </row>
    <row r="95" spans="1:11">
      <c r="A95" s="2" t="s">
        <v>217</v>
      </c>
      <c r="B95" s="3" t="s">
        <v>105</v>
      </c>
      <c r="C95" s="3" t="s">
        <v>97</v>
      </c>
      <c r="D95" s="3" t="s">
        <v>111</v>
      </c>
      <c r="E95" s="3">
        <v>30</v>
      </c>
      <c r="F95" s="3">
        <v>62</v>
      </c>
      <c r="G95" s="3">
        <v>130</v>
      </c>
      <c r="H95" s="3">
        <v>70</v>
      </c>
      <c r="I95" s="4">
        <v>8060</v>
      </c>
      <c r="J95" s="4">
        <v>4340</v>
      </c>
      <c r="K95" s="4">
        <v>3720</v>
      </c>
    </row>
    <row r="96" spans="1:11">
      <c r="A96" s="2" t="s">
        <v>218</v>
      </c>
      <c r="B96" s="3" t="s">
        <v>103</v>
      </c>
      <c r="C96" s="3" t="s">
        <v>96</v>
      </c>
      <c r="D96" s="3" t="s">
        <v>110</v>
      </c>
      <c r="E96" s="3">
        <v>31</v>
      </c>
      <c r="F96" s="3">
        <v>64</v>
      </c>
      <c r="G96" s="3">
        <v>90</v>
      </c>
      <c r="H96" s="3">
        <v>50</v>
      </c>
      <c r="I96" s="4">
        <v>5760</v>
      </c>
      <c r="J96" s="4">
        <v>3200</v>
      </c>
      <c r="K96" s="4">
        <v>2560</v>
      </c>
    </row>
    <row r="97" spans="1:11">
      <c r="A97" s="2" t="s">
        <v>219</v>
      </c>
      <c r="B97" s="3" t="s">
        <v>104</v>
      </c>
      <c r="C97" s="3" t="s">
        <v>93</v>
      </c>
      <c r="D97" s="3" t="s">
        <v>112</v>
      </c>
      <c r="E97" s="3">
        <v>39</v>
      </c>
      <c r="F97" s="3">
        <v>59</v>
      </c>
      <c r="G97" s="3">
        <v>100</v>
      </c>
      <c r="H97" s="3">
        <v>55</v>
      </c>
      <c r="I97" s="4">
        <v>5900</v>
      </c>
      <c r="J97" s="4">
        <v>3245</v>
      </c>
      <c r="K97" s="4">
        <v>2655</v>
      </c>
    </row>
    <row r="98" spans="1:11">
      <c r="A98" s="2" t="s">
        <v>220</v>
      </c>
      <c r="B98" s="3" t="s">
        <v>103</v>
      </c>
      <c r="C98" s="3" t="s">
        <v>98</v>
      </c>
      <c r="D98" s="3" t="s">
        <v>110</v>
      </c>
      <c r="E98" s="3">
        <v>31</v>
      </c>
      <c r="F98" s="3">
        <v>62</v>
      </c>
      <c r="G98" s="3">
        <v>100</v>
      </c>
      <c r="H98" s="3">
        <v>55</v>
      </c>
      <c r="I98" s="4">
        <v>6200</v>
      </c>
      <c r="J98" s="4">
        <v>3410</v>
      </c>
      <c r="K98" s="4">
        <v>2790</v>
      </c>
    </row>
    <row r="99" spans="1:11">
      <c r="A99" s="2" t="s">
        <v>199</v>
      </c>
      <c r="B99" s="3" t="s">
        <v>106</v>
      </c>
      <c r="C99" s="3" t="s">
        <v>93</v>
      </c>
      <c r="D99" s="3" t="s">
        <v>110</v>
      </c>
      <c r="E99" s="3">
        <v>40</v>
      </c>
      <c r="F99" s="3">
        <v>75</v>
      </c>
      <c r="G99" s="3">
        <v>100</v>
      </c>
      <c r="H99" s="3">
        <v>55</v>
      </c>
      <c r="I99" s="4">
        <v>7500</v>
      </c>
      <c r="J99" s="4">
        <v>4125</v>
      </c>
      <c r="K99" s="4">
        <v>3375</v>
      </c>
    </row>
    <row r="100" spans="1:11">
      <c r="A100" s="2" t="s">
        <v>204</v>
      </c>
      <c r="B100" s="3" t="s">
        <v>104</v>
      </c>
      <c r="C100" s="3" t="s">
        <v>98</v>
      </c>
      <c r="D100" s="3" t="s">
        <v>110</v>
      </c>
      <c r="E100" s="3">
        <v>20</v>
      </c>
      <c r="F100" s="3">
        <v>50</v>
      </c>
      <c r="G100" s="3">
        <v>100</v>
      </c>
      <c r="H100" s="3">
        <v>55</v>
      </c>
      <c r="I100" s="4">
        <v>5000</v>
      </c>
      <c r="J100" s="4">
        <v>2750</v>
      </c>
      <c r="K100" s="4">
        <v>2250</v>
      </c>
    </row>
    <row r="101" spans="1:11">
      <c r="A101" s="2" t="s">
        <v>221</v>
      </c>
      <c r="B101" s="3" t="s">
        <v>106</v>
      </c>
      <c r="C101" s="3" t="s">
        <v>98</v>
      </c>
      <c r="D101" s="3" t="s">
        <v>112</v>
      </c>
      <c r="E101" s="3">
        <v>20</v>
      </c>
      <c r="F101" s="3">
        <v>47</v>
      </c>
      <c r="G101" s="3">
        <v>100</v>
      </c>
      <c r="H101" s="3">
        <v>55</v>
      </c>
      <c r="I101" s="4">
        <v>4700</v>
      </c>
      <c r="J101" s="4">
        <v>2585</v>
      </c>
      <c r="K101" s="4">
        <v>2115</v>
      </c>
    </row>
    <row r="102" spans="1:11">
      <c r="A102" s="2" t="s">
        <v>196</v>
      </c>
      <c r="B102" s="3" t="s">
        <v>106</v>
      </c>
      <c r="C102" s="3" t="s">
        <v>95</v>
      </c>
      <c r="D102" s="3" t="s">
        <v>111</v>
      </c>
      <c r="E102" s="3">
        <v>22</v>
      </c>
      <c r="F102" s="3">
        <v>26</v>
      </c>
      <c r="G102" s="3">
        <v>110</v>
      </c>
      <c r="H102" s="3">
        <v>60</v>
      </c>
      <c r="I102" s="4">
        <v>2860</v>
      </c>
      <c r="J102" s="4">
        <v>1560</v>
      </c>
      <c r="K102" s="4">
        <v>1300</v>
      </c>
    </row>
    <row r="103" spans="1:11">
      <c r="A103" s="2" t="s">
        <v>222</v>
      </c>
      <c r="B103" s="3" t="s">
        <v>103</v>
      </c>
      <c r="C103" s="3" t="s">
        <v>94</v>
      </c>
      <c r="D103" s="3" t="s">
        <v>110</v>
      </c>
      <c r="E103" s="3">
        <v>32</v>
      </c>
      <c r="F103" s="3">
        <v>53</v>
      </c>
      <c r="G103" s="3">
        <v>80</v>
      </c>
      <c r="H103" s="3">
        <v>45</v>
      </c>
      <c r="I103" s="4">
        <v>4240</v>
      </c>
      <c r="J103" s="4">
        <v>2385</v>
      </c>
      <c r="K103" s="4">
        <v>1855</v>
      </c>
    </row>
    <row r="104" spans="1:11">
      <c r="A104" s="2" t="s">
        <v>223</v>
      </c>
      <c r="B104" s="3" t="s">
        <v>103</v>
      </c>
      <c r="C104" s="3" t="s">
        <v>94</v>
      </c>
      <c r="D104" s="3" t="s">
        <v>110</v>
      </c>
      <c r="E104" s="3">
        <v>31</v>
      </c>
      <c r="F104" s="3">
        <v>63</v>
      </c>
      <c r="G104" s="3">
        <v>80</v>
      </c>
      <c r="H104" s="3">
        <v>45</v>
      </c>
      <c r="I104" s="4">
        <v>5040</v>
      </c>
      <c r="J104" s="4">
        <v>2835</v>
      </c>
      <c r="K104" s="4">
        <v>2205</v>
      </c>
    </row>
    <row r="105" spans="1:11">
      <c r="A105" s="2" t="s">
        <v>224</v>
      </c>
      <c r="B105" s="3" t="s">
        <v>103</v>
      </c>
      <c r="C105" s="3" t="s">
        <v>98</v>
      </c>
      <c r="D105" s="3" t="s">
        <v>111</v>
      </c>
      <c r="E105" s="3">
        <v>40</v>
      </c>
      <c r="F105" s="3">
        <v>182</v>
      </c>
      <c r="G105" s="3">
        <v>100</v>
      </c>
      <c r="H105" s="3">
        <v>55</v>
      </c>
      <c r="I105" s="4">
        <v>18200</v>
      </c>
      <c r="J105" s="4">
        <v>10010</v>
      </c>
      <c r="K105" s="4">
        <v>8190</v>
      </c>
    </row>
    <row r="106" spans="1:11">
      <c r="A106" s="2" t="s">
        <v>225</v>
      </c>
      <c r="B106" s="3" t="s">
        <v>104</v>
      </c>
      <c r="C106" s="3" t="s">
        <v>93</v>
      </c>
      <c r="D106" s="3" t="s">
        <v>111</v>
      </c>
      <c r="E106" s="3">
        <v>33</v>
      </c>
      <c r="F106" s="3">
        <v>191</v>
      </c>
      <c r="G106" s="3">
        <v>100</v>
      </c>
      <c r="H106" s="3">
        <v>55</v>
      </c>
      <c r="I106" s="4">
        <v>19100</v>
      </c>
      <c r="J106" s="4">
        <v>10505</v>
      </c>
      <c r="K106" s="4">
        <v>8595</v>
      </c>
    </row>
    <row r="107" spans="1:11">
      <c r="A107" s="2" t="s">
        <v>226</v>
      </c>
      <c r="B107" s="3" t="s">
        <v>103</v>
      </c>
      <c r="C107" s="3" t="s">
        <v>94</v>
      </c>
      <c r="D107" s="3" t="s">
        <v>110</v>
      </c>
      <c r="E107" s="3">
        <v>33</v>
      </c>
      <c r="F107" s="3">
        <v>87</v>
      </c>
      <c r="G107" s="3">
        <v>80</v>
      </c>
      <c r="H107" s="3">
        <v>45</v>
      </c>
      <c r="I107" s="4">
        <v>6960</v>
      </c>
      <c r="J107" s="4">
        <v>3915</v>
      </c>
      <c r="K107" s="4">
        <v>3045</v>
      </c>
    </row>
    <row r="108" spans="1:11">
      <c r="A108" s="2" t="s">
        <v>164</v>
      </c>
      <c r="B108" s="3" t="s">
        <v>104</v>
      </c>
      <c r="C108" s="3" t="s">
        <v>96</v>
      </c>
      <c r="D108" s="3" t="s">
        <v>110</v>
      </c>
      <c r="E108" s="3">
        <v>40</v>
      </c>
      <c r="F108" s="3">
        <v>101</v>
      </c>
      <c r="G108" s="3">
        <v>90</v>
      </c>
      <c r="H108" s="3">
        <v>50</v>
      </c>
      <c r="I108" s="4">
        <v>9090</v>
      </c>
      <c r="J108" s="4">
        <v>5050</v>
      </c>
      <c r="K108" s="4">
        <v>4040</v>
      </c>
    </row>
    <row r="109" spans="1:11">
      <c r="A109" s="2" t="s">
        <v>227</v>
      </c>
      <c r="B109" s="3" t="s">
        <v>106</v>
      </c>
      <c r="C109" s="3" t="s">
        <v>93</v>
      </c>
      <c r="D109" s="3" t="s">
        <v>110</v>
      </c>
      <c r="E109" s="3">
        <v>34</v>
      </c>
      <c r="F109" s="3">
        <v>155</v>
      </c>
      <c r="G109" s="3">
        <v>100</v>
      </c>
      <c r="H109" s="3">
        <v>55</v>
      </c>
      <c r="I109" s="4">
        <v>15500</v>
      </c>
      <c r="J109" s="4">
        <v>8525</v>
      </c>
      <c r="K109" s="4">
        <v>6975</v>
      </c>
    </row>
    <row r="110" spans="1:11">
      <c r="A110" s="2" t="s">
        <v>147</v>
      </c>
      <c r="B110" s="3" t="s">
        <v>103</v>
      </c>
      <c r="C110" s="3" t="s">
        <v>97</v>
      </c>
      <c r="D110" s="3" t="s">
        <v>112</v>
      </c>
      <c r="E110" s="3">
        <v>32</v>
      </c>
      <c r="F110" s="3">
        <v>123</v>
      </c>
      <c r="G110" s="3">
        <v>130</v>
      </c>
      <c r="H110" s="3">
        <v>70</v>
      </c>
      <c r="I110" s="4">
        <v>15990</v>
      </c>
      <c r="J110" s="4">
        <v>8610</v>
      </c>
      <c r="K110" s="4">
        <v>7380</v>
      </c>
    </row>
    <row r="111" spans="1:11">
      <c r="A111" s="2" t="s">
        <v>228</v>
      </c>
      <c r="B111" s="3" t="s">
        <v>106</v>
      </c>
      <c r="C111" s="3" t="s">
        <v>93</v>
      </c>
      <c r="D111" s="3" t="s">
        <v>110</v>
      </c>
      <c r="E111" s="3">
        <v>20</v>
      </c>
      <c r="F111" s="3">
        <v>22</v>
      </c>
      <c r="G111" s="3">
        <v>100</v>
      </c>
      <c r="H111" s="3">
        <v>55</v>
      </c>
      <c r="I111" s="4">
        <v>2200</v>
      </c>
      <c r="J111" s="4">
        <v>1210</v>
      </c>
      <c r="K111" s="4">
        <v>990</v>
      </c>
    </row>
    <row r="112" spans="1:11">
      <c r="A112" s="2" t="s">
        <v>229</v>
      </c>
      <c r="B112" s="3" t="s">
        <v>103</v>
      </c>
      <c r="C112" s="3" t="s">
        <v>94</v>
      </c>
      <c r="D112" s="3" t="s">
        <v>110</v>
      </c>
      <c r="E112" s="3">
        <v>39</v>
      </c>
      <c r="F112" s="3">
        <v>167</v>
      </c>
      <c r="G112" s="3">
        <v>80</v>
      </c>
      <c r="H112" s="3">
        <v>45</v>
      </c>
      <c r="I112" s="4">
        <v>13360</v>
      </c>
      <c r="J112" s="4">
        <v>7515</v>
      </c>
      <c r="K112" s="4">
        <v>5845</v>
      </c>
    </row>
    <row r="113" spans="1:11">
      <c r="A113" s="2" t="s">
        <v>230</v>
      </c>
      <c r="B113" s="3" t="s">
        <v>104</v>
      </c>
      <c r="C113" s="3" t="s">
        <v>95</v>
      </c>
      <c r="D113" s="3" t="s">
        <v>112</v>
      </c>
      <c r="E113" s="3">
        <v>19</v>
      </c>
      <c r="F113" s="3">
        <v>36</v>
      </c>
      <c r="G113" s="3">
        <v>110</v>
      </c>
      <c r="H113" s="3">
        <v>60</v>
      </c>
      <c r="I113" s="4">
        <v>3960</v>
      </c>
      <c r="J113" s="4">
        <v>2160</v>
      </c>
      <c r="K113" s="4">
        <v>1800</v>
      </c>
    </row>
    <row r="114" spans="1:11">
      <c r="A114" s="2" t="s">
        <v>231</v>
      </c>
      <c r="B114" s="3" t="s">
        <v>103</v>
      </c>
      <c r="C114" s="3" t="s">
        <v>94</v>
      </c>
      <c r="D114" s="3" t="s">
        <v>110</v>
      </c>
      <c r="E114" s="3">
        <v>41</v>
      </c>
      <c r="F114" s="3">
        <v>141</v>
      </c>
      <c r="G114" s="3">
        <v>80</v>
      </c>
      <c r="H114" s="3">
        <v>45</v>
      </c>
      <c r="I114" s="4">
        <v>11280</v>
      </c>
      <c r="J114" s="4">
        <v>6345</v>
      </c>
      <c r="K114" s="4">
        <v>4935</v>
      </c>
    </row>
    <row r="115" spans="1:11">
      <c r="A115" s="2" t="s">
        <v>232</v>
      </c>
      <c r="B115" s="3" t="s">
        <v>104</v>
      </c>
      <c r="C115" s="3" t="s">
        <v>94</v>
      </c>
      <c r="D115" s="3" t="s">
        <v>111</v>
      </c>
      <c r="E115" s="3">
        <v>27</v>
      </c>
      <c r="F115" s="3">
        <v>21</v>
      </c>
      <c r="G115" s="3">
        <v>80</v>
      </c>
      <c r="H115" s="3">
        <v>45</v>
      </c>
      <c r="I115" s="4">
        <v>1680</v>
      </c>
      <c r="J115" s="4">
        <v>945</v>
      </c>
      <c r="K115" s="4">
        <v>735</v>
      </c>
    </row>
    <row r="116" spans="1:11">
      <c r="A116" s="2" t="s">
        <v>233</v>
      </c>
      <c r="B116" s="3" t="s">
        <v>104</v>
      </c>
      <c r="C116" s="3" t="s">
        <v>93</v>
      </c>
      <c r="D116" s="3" t="s">
        <v>111</v>
      </c>
      <c r="E116" s="3">
        <v>34</v>
      </c>
      <c r="F116" s="3">
        <v>102</v>
      </c>
      <c r="G116" s="3">
        <v>100</v>
      </c>
      <c r="H116" s="3">
        <v>55</v>
      </c>
      <c r="I116" s="4">
        <v>10200</v>
      </c>
      <c r="J116" s="4">
        <v>5610</v>
      </c>
      <c r="K116" s="4">
        <v>4590</v>
      </c>
    </row>
    <row r="117" spans="1:11">
      <c r="A117" s="2" t="s">
        <v>213</v>
      </c>
      <c r="B117" s="3" t="s">
        <v>103</v>
      </c>
      <c r="C117" s="3" t="s">
        <v>96</v>
      </c>
      <c r="D117" s="3" t="s">
        <v>112</v>
      </c>
      <c r="E117" s="3">
        <v>26</v>
      </c>
      <c r="F117" s="3">
        <v>92</v>
      </c>
      <c r="G117" s="3">
        <v>90</v>
      </c>
      <c r="H117" s="3">
        <v>50</v>
      </c>
      <c r="I117" s="4">
        <v>8280</v>
      </c>
      <c r="J117" s="4">
        <v>4600</v>
      </c>
      <c r="K117" s="4">
        <v>3680</v>
      </c>
    </row>
    <row r="118" spans="1:11">
      <c r="A118" s="2" t="s">
        <v>183</v>
      </c>
      <c r="B118" s="3" t="s">
        <v>103</v>
      </c>
      <c r="C118" s="3" t="s">
        <v>98</v>
      </c>
      <c r="D118" s="3" t="s">
        <v>111</v>
      </c>
      <c r="E118" s="3">
        <v>25</v>
      </c>
      <c r="F118" s="3">
        <v>24</v>
      </c>
      <c r="G118" s="3">
        <v>100</v>
      </c>
      <c r="H118" s="3">
        <v>55</v>
      </c>
      <c r="I118" s="4">
        <v>2400</v>
      </c>
      <c r="J118" s="4">
        <v>1320</v>
      </c>
      <c r="K118" s="4">
        <v>1080</v>
      </c>
    </row>
    <row r="119" spans="1:11">
      <c r="A119" s="2" t="s">
        <v>234</v>
      </c>
      <c r="B119" s="3" t="s">
        <v>105</v>
      </c>
      <c r="C119" s="3" t="s">
        <v>94</v>
      </c>
      <c r="D119" s="3" t="s">
        <v>111</v>
      </c>
      <c r="E119" s="3">
        <v>33</v>
      </c>
      <c r="F119" s="3">
        <v>31</v>
      </c>
      <c r="G119" s="3">
        <v>80</v>
      </c>
      <c r="H119" s="3">
        <v>45</v>
      </c>
      <c r="I119" s="4">
        <v>2480</v>
      </c>
      <c r="J119" s="4">
        <v>1395</v>
      </c>
      <c r="K119" s="4">
        <v>1085</v>
      </c>
    </row>
    <row r="120" spans="1:11">
      <c r="A120" s="2" t="s">
        <v>235</v>
      </c>
      <c r="B120" s="3" t="s">
        <v>106</v>
      </c>
      <c r="C120" s="3" t="s">
        <v>95</v>
      </c>
      <c r="D120" s="3" t="s">
        <v>111</v>
      </c>
      <c r="E120" s="3">
        <v>19</v>
      </c>
      <c r="F120" s="3">
        <v>54</v>
      </c>
      <c r="G120" s="3">
        <v>110</v>
      </c>
      <c r="H120" s="3">
        <v>60</v>
      </c>
      <c r="I120" s="4">
        <v>5940</v>
      </c>
      <c r="J120" s="4">
        <v>3240</v>
      </c>
      <c r="K120" s="4">
        <v>2700</v>
      </c>
    </row>
    <row r="121" spans="1:11">
      <c r="A121" s="2" t="s">
        <v>236</v>
      </c>
      <c r="B121" s="3" t="s">
        <v>103</v>
      </c>
      <c r="C121" s="3" t="s">
        <v>96</v>
      </c>
      <c r="D121" s="3" t="s">
        <v>110</v>
      </c>
      <c r="E121" s="3">
        <v>32</v>
      </c>
      <c r="F121" s="3">
        <v>57</v>
      </c>
      <c r="G121" s="3">
        <v>90</v>
      </c>
      <c r="H121" s="3">
        <v>50</v>
      </c>
      <c r="I121" s="4">
        <v>5130</v>
      </c>
      <c r="J121" s="4">
        <v>2850</v>
      </c>
      <c r="K121" s="4">
        <v>2280</v>
      </c>
    </row>
    <row r="122" spans="1:11">
      <c r="A122" s="2" t="s">
        <v>182</v>
      </c>
      <c r="B122" s="3" t="s">
        <v>103</v>
      </c>
      <c r="C122" s="3" t="s">
        <v>94</v>
      </c>
      <c r="D122" s="3" t="s">
        <v>110</v>
      </c>
      <c r="E122" s="3">
        <v>29</v>
      </c>
      <c r="F122" s="3">
        <v>46</v>
      </c>
      <c r="G122" s="3">
        <v>80</v>
      </c>
      <c r="H122" s="3">
        <v>45</v>
      </c>
      <c r="I122" s="4">
        <v>3680</v>
      </c>
      <c r="J122" s="4">
        <v>2070</v>
      </c>
      <c r="K122" s="4">
        <v>1610</v>
      </c>
    </row>
    <row r="123" spans="1:11">
      <c r="A123" s="2" t="s">
        <v>237</v>
      </c>
      <c r="B123" s="3" t="s">
        <v>105</v>
      </c>
      <c r="C123" s="3" t="s">
        <v>95</v>
      </c>
      <c r="D123" s="3" t="s">
        <v>110</v>
      </c>
      <c r="E123" s="3">
        <v>21</v>
      </c>
      <c r="F123" s="3">
        <v>56</v>
      </c>
      <c r="G123" s="3">
        <v>110</v>
      </c>
      <c r="H123" s="3">
        <v>60</v>
      </c>
      <c r="I123" s="4">
        <v>6160</v>
      </c>
      <c r="J123" s="4">
        <v>3360</v>
      </c>
      <c r="K123" s="4">
        <v>2800</v>
      </c>
    </row>
    <row r="124" spans="1:11">
      <c r="A124" s="2" t="s">
        <v>229</v>
      </c>
      <c r="B124" s="3" t="s">
        <v>104</v>
      </c>
      <c r="C124" s="3" t="s">
        <v>95</v>
      </c>
      <c r="D124" s="3" t="s">
        <v>111</v>
      </c>
      <c r="E124" s="3">
        <v>41</v>
      </c>
      <c r="F124" s="3">
        <v>132</v>
      </c>
      <c r="G124" s="3">
        <v>110</v>
      </c>
      <c r="H124" s="3">
        <v>60</v>
      </c>
      <c r="I124" s="4">
        <v>14520</v>
      </c>
      <c r="J124" s="4">
        <v>7920</v>
      </c>
      <c r="K124" s="4">
        <v>6600</v>
      </c>
    </row>
    <row r="125" spans="1:11">
      <c r="A125" s="2" t="s">
        <v>150</v>
      </c>
      <c r="B125" s="3" t="s">
        <v>105</v>
      </c>
      <c r="C125" s="3" t="s">
        <v>93</v>
      </c>
      <c r="D125" s="3" t="s">
        <v>111</v>
      </c>
      <c r="E125" s="3">
        <v>37</v>
      </c>
      <c r="F125" s="3">
        <v>108</v>
      </c>
      <c r="G125" s="3">
        <v>100</v>
      </c>
      <c r="H125" s="3">
        <v>55</v>
      </c>
      <c r="I125" s="4">
        <v>10800</v>
      </c>
      <c r="J125" s="4">
        <v>5940</v>
      </c>
      <c r="K125" s="4">
        <v>4860</v>
      </c>
    </row>
    <row r="126" spans="1:11">
      <c r="A126" s="2" t="s">
        <v>238</v>
      </c>
      <c r="B126" s="3" t="s">
        <v>103</v>
      </c>
      <c r="C126" s="3" t="s">
        <v>97</v>
      </c>
      <c r="D126" s="3" t="s">
        <v>110</v>
      </c>
      <c r="E126" s="3">
        <v>32</v>
      </c>
      <c r="F126" s="3">
        <v>99</v>
      </c>
      <c r="G126" s="3">
        <v>130</v>
      </c>
      <c r="H126" s="3">
        <v>70</v>
      </c>
      <c r="I126" s="4">
        <v>12870</v>
      </c>
      <c r="J126" s="4">
        <v>6930</v>
      </c>
      <c r="K126" s="4">
        <v>5940</v>
      </c>
    </row>
    <row r="127" spans="1:11">
      <c r="A127" s="2" t="s">
        <v>225</v>
      </c>
      <c r="B127" s="3" t="s">
        <v>103</v>
      </c>
      <c r="C127" s="3" t="s">
        <v>94</v>
      </c>
      <c r="D127" s="3" t="s">
        <v>110</v>
      </c>
      <c r="E127" s="3">
        <v>39</v>
      </c>
      <c r="F127" s="3">
        <v>144</v>
      </c>
      <c r="G127" s="3">
        <v>80</v>
      </c>
      <c r="H127" s="3">
        <v>45</v>
      </c>
      <c r="I127" s="4">
        <v>11520</v>
      </c>
      <c r="J127" s="4">
        <v>6480</v>
      </c>
      <c r="K127" s="4">
        <v>5040</v>
      </c>
    </row>
    <row r="128" spans="1:11">
      <c r="A128" s="2" t="s">
        <v>221</v>
      </c>
      <c r="B128" s="3" t="s">
        <v>103</v>
      </c>
      <c r="C128" s="3" t="s">
        <v>98</v>
      </c>
      <c r="D128" s="3" t="s">
        <v>110</v>
      </c>
      <c r="E128" s="3">
        <v>21</v>
      </c>
      <c r="F128" s="3">
        <v>46</v>
      </c>
      <c r="G128" s="3">
        <v>100</v>
      </c>
      <c r="H128" s="3">
        <v>55</v>
      </c>
      <c r="I128" s="4">
        <v>4600</v>
      </c>
      <c r="J128" s="4">
        <v>2530</v>
      </c>
      <c r="K128" s="4">
        <v>2070</v>
      </c>
    </row>
    <row r="129" spans="1:11">
      <c r="A129" s="2" t="s">
        <v>206</v>
      </c>
      <c r="B129" s="3" t="s">
        <v>104</v>
      </c>
      <c r="C129" s="3" t="s">
        <v>98</v>
      </c>
      <c r="D129" s="3" t="s">
        <v>112</v>
      </c>
      <c r="E129" s="3">
        <v>31</v>
      </c>
      <c r="F129" s="3">
        <v>108</v>
      </c>
      <c r="G129" s="3">
        <v>100</v>
      </c>
      <c r="H129" s="3">
        <v>55</v>
      </c>
      <c r="I129" s="4">
        <v>10800</v>
      </c>
      <c r="J129" s="4">
        <v>5940</v>
      </c>
      <c r="K129" s="4">
        <v>4860</v>
      </c>
    </row>
    <row r="130" spans="1:11">
      <c r="A130" s="2" t="s">
        <v>224</v>
      </c>
      <c r="B130" s="3" t="s">
        <v>103</v>
      </c>
      <c r="C130" s="3" t="s">
        <v>93</v>
      </c>
      <c r="D130" s="3" t="s">
        <v>111</v>
      </c>
      <c r="E130" s="3">
        <v>39</v>
      </c>
      <c r="F130" s="3">
        <v>128</v>
      </c>
      <c r="G130" s="3">
        <v>100</v>
      </c>
      <c r="H130" s="3">
        <v>55</v>
      </c>
      <c r="I130" s="4">
        <v>12800</v>
      </c>
      <c r="J130" s="4">
        <v>7040</v>
      </c>
      <c r="K130" s="4">
        <v>5760</v>
      </c>
    </row>
    <row r="131" spans="1:11">
      <c r="A131" s="2" t="s">
        <v>183</v>
      </c>
      <c r="B131" s="3" t="s">
        <v>105</v>
      </c>
      <c r="C131" s="3" t="s">
        <v>93</v>
      </c>
      <c r="D131" s="3" t="s">
        <v>110</v>
      </c>
      <c r="E131" s="3">
        <v>20</v>
      </c>
      <c r="F131" s="3">
        <v>13</v>
      </c>
      <c r="G131" s="3">
        <v>100</v>
      </c>
      <c r="H131" s="3">
        <v>55</v>
      </c>
      <c r="I131" s="4">
        <v>1300</v>
      </c>
      <c r="J131" s="4">
        <v>715</v>
      </c>
      <c r="K131" s="4">
        <v>585</v>
      </c>
    </row>
    <row r="132" spans="1:11">
      <c r="A132" s="2" t="s">
        <v>218</v>
      </c>
      <c r="B132" s="3" t="s">
        <v>103</v>
      </c>
      <c r="C132" s="3" t="s">
        <v>96</v>
      </c>
      <c r="D132" s="3" t="s">
        <v>110</v>
      </c>
      <c r="E132" s="3">
        <v>31</v>
      </c>
      <c r="F132" s="3">
        <v>43</v>
      </c>
      <c r="G132" s="3">
        <v>90</v>
      </c>
      <c r="H132" s="3">
        <v>50</v>
      </c>
      <c r="I132" s="4">
        <v>3870</v>
      </c>
      <c r="J132" s="4">
        <v>2150</v>
      </c>
      <c r="K132" s="4">
        <v>1720</v>
      </c>
    </row>
    <row r="133" spans="1:11">
      <c r="A133" s="2" t="s">
        <v>149</v>
      </c>
      <c r="B133" s="3" t="s">
        <v>106</v>
      </c>
      <c r="C133" s="3" t="s">
        <v>96</v>
      </c>
      <c r="D133" s="3" t="s">
        <v>110</v>
      </c>
      <c r="E133" s="3">
        <v>26</v>
      </c>
      <c r="F133" s="3">
        <v>32</v>
      </c>
      <c r="G133" s="3">
        <v>90</v>
      </c>
      <c r="H133" s="3">
        <v>50</v>
      </c>
      <c r="I133" s="4">
        <v>2880</v>
      </c>
      <c r="J133" s="4">
        <v>1600</v>
      </c>
      <c r="K133" s="4">
        <v>1280</v>
      </c>
    </row>
    <row r="134" spans="1:11">
      <c r="A134" s="2" t="s">
        <v>239</v>
      </c>
      <c r="B134" s="3" t="s">
        <v>104</v>
      </c>
      <c r="C134" s="3" t="s">
        <v>93</v>
      </c>
      <c r="D134" s="3" t="s">
        <v>111</v>
      </c>
      <c r="E134" s="3">
        <v>39</v>
      </c>
      <c r="F134" s="3">
        <v>179</v>
      </c>
      <c r="G134" s="3">
        <v>100</v>
      </c>
      <c r="H134" s="3">
        <v>55</v>
      </c>
      <c r="I134" s="4">
        <v>17900</v>
      </c>
      <c r="J134" s="4">
        <v>9845</v>
      </c>
      <c r="K134" s="4">
        <v>8055</v>
      </c>
    </row>
    <row r="135" spans="1:11">
      <c r="A135" s="2" t="s">
        <v>240</v>
      </c>
      <c r="B135" s="3" t="s">
        <v>103</v>
      </c>
      <c r="C135" s="3" t="s">
        <v>94</v>
      </c>
      <c r="D135" s="3" t="s">
        <v>110</v>
      </c>
      <c r="E135" s="3">
        <v>39</v>
      </c>
      <c r="F135" s="3">
        <v>58</v>
      </c>
      <c r="G135" s="3">
        <v>80</v>
      </c>
      <c r="H135" s="3">
        <v>45</v>
      </c>
      <c r="I135" s="4">
        <v>4640</v>
      </c>
      <c r="J135" s="4">
        <v>2610</v>
      </c>
      <c r="K135" s="4">
        <v>2030</v>
      </c>
    </row>
    <row r="136" spans="1:11">
      <c r="A136" s="2" t="s">
        <v>241</v>
      </c>
      <c r="B136" s="3" t="s">
        <v>103</v>
      </c>
      <c r="C136" s="3" t="s">
        <v>93</v>
      </c>
      <c r="D136" s="3" t="s">
        <v>112</v>
      </c>
      <c r="E136" s="3">
        <v>27</v>
      </c>
      <c r="F136" s="3">
        <v>91</v>
      </c>
      <c r="G136" s="3">
        <v>100</v>
      </c>
      <c r="H136" s="3">
        <v>55</v>
      </c>
      <c r="I136" s="4">
        <v>9100</v>
      </c>
      <c r="J136" s="4">
        <v>5005</v>
      </c>
      <c r="K136" s="4">
        <v>4095</v>
      </c>
    </row>
    <row r="137" spans="1:11">
      <c r="A137" s="2" t="s">
        <v>242</v>
      </c>
      <c r="B137" s="3" t="s">
        <v>106</v>
      </c>
      <c r="C137" s="3" t="s">
        <v>97</v>
      </c>
      <c r="D137" s="3" t="s">
        <v>110</v>
      </c>
      <c r="E137" s="3">
        <v>20</v>
      </c>
      <c r="F137" s="3">
        <v>44</v>
      </c>
      <c r="G137" s="3">
        <v>130</v>
      </c>
      <c r="H137" s="3">
        <v>70</v>
      </c>
      <c r="I137" s="4">
        <v>5720</v>
      </c>
      <c r="J137" s="4">
        <v>3080</v>
      </c>
      <c r="K137" s="4">
        <v>2640</v>
      </c>
    </row>
    <row r="138" spans="1:11">
      <c r="A138" s="2" t="s">
        <v>243</v>
      </c>
      <c r="B138" s="3" t="s">
        <v>104</v>
      </c>
      <c r="C138" s="3" t="s">
        <v>95</v>
      </c>
      <c r="D138" s="3" t="s">
        <v>111</v>
      </c>
      <c r="E138" s="3">
        <v>26</v>
      </c>
      <c r="F138" s="3">
        <v>17</v>
      </c>
      <c r="G138" s="3">
        <v>110</v>
      </c>
      <c r="H138" s="3">
        <v>60</v>
      </c>
      <c r="I138" s="4">
        <v>1870</v>
      </c>
      <c r="J138" s="4">
        <v>1020</v>
      </c>
      <c r="K138" s="4">
        <v>850</v>
      </c>
    </row>
    <row r="139" spans="1:11">
      <c r="A139" s="2" t="s">
        <v>238</v>
      </c>
      <c r="B139" s="3" t="s">
        <v>103</v>
      </c>
      <c r="C139" s="3" t="s">
        <v>94</v>
      </c>
      <c r="D139" s="3" t="s">
        <v>110</v>
      </c>
      <c r="E139" s="3">
        <v>28</v>
      </c>
      <c r="F139" s="3">
        <v>34</v>
      </c>
      <c r="G139" s="3">
        <v>80</v>
      </c>
      <c r="H139" s="3">
        <v>45</v>
      </c>
      <c r="I139" s="4">
        <v>2720</v>
      </c>
      <c r="J139" s="4">
        <v>1530</v>
      </c>
      <c r="K139" s="4">
        <v>1190</v>
      </c>
    </row>
    <row r="140" spans="1:11">
      <c r="A140" s="2" t="s">
        <v>222</v>
      </c>
      <c r="B140" s="3" t="s">
        <v>104</v>
      </c>
      <c r="C140" s="3" t="s">
        <v>96</v>
      </c>
      <c r="D140" s="3" t="s">
        <v>112</v>
      </c>
      <c r="E140" s="3">
        <v>33</v>
      </c>
      <c r="F140" s="3">
        <v>138</v>
      </c>
      <c r="G140" s="3">
        <v>90</v>
      </c>
      <c r="H140" s="3">
        <v>50</v>
      </c>
      <c r="I140" s="4">
        <v>12420</v>
      </c>
      <c r="J140" s="4">
        <v>6900</v>
      </c>
      <c r="K140" s="4">
        <v>5520</v>
      </c>
    </row>
    <row r="141" spans="1:11">
      <c r="A141" s="2" t="s">
        <v>244</v>
      </c>
      <c r="B141" s="3" t="s">
        <v>105</v>
      </c>
      <c r="C141" s="3" t="s">
        <v>93</v>
      </c>
      <c r="D141" s="3" t="s">
        <v>112</v>
      </c>
      <c r="E141" s="3">
        <v>26</v>
      </c>
      <c r="F141" s="3">
        <v>67</v>
      </c>
      <c r="G141" s="3">
        <v>100</v>
      </c>
      <c r="H141" s="3">
        <v>55</v>
      </c>
      <c r="I141" s="4">
        <v>6700</v>
      </c>
      <c r="J141" s="4">
        <v>3685</v>
      </c>
      <c r="K141" s="4">
        <v>3015</v>
      </c>
    </row>
    <row r="142" spans="1:11">
      <c r="A142" s="2" t="s">
        <v>196</v>
      </c>
      <c r="B142" s="3" t="s">
        <v>104</v>
      </c>
      <c r="C142" s="3" t="s">
        <v>93</v>
      </c>
      <c r="D142" s="3" t="s">
        <v>110</v>
      </c>
      <c r="E142" s="3">
        <v>24</v>
      </c>
      <c r="F142" s="3">
        <v>56</v>
      </c>
      <c r="G142" s="3">
        <v>100</v>
      </c>
      <c r="H142" s="3">
        <v>55</v>
      </c>
      <c r="I142" s="4">
        <v>5600</v>
      </c>
      <c r="J142" s="4">
        <v>3080</v>
      </c>
      <c r="K142" s="4">
        <v>2520</v>
      </c>
    </row>
    <row r="143" spans="1:11">
      <c r="A143" s="2" t="s">
        <v>245</v>
      </c>
      <c r="B143" s="3" t="s">
        <v>105</v>
      </c>
      <c r="C143" s="3" t="s">
        <v>97</v>
      </c>
      <c r="D143" s="3" t="s">
        <v>110</v>
      </c>
      <c r="E143" s="3">
        <v>20</v>
      </c>
      <c r="F143" s="3">
        <v>15</v>
      </c>
      <c r="G143" s="3">
        <v>130</v>
      </c>
      <c r="H143" s="3">
        <v>70</v>
      </c>
      <c r="I143" s="4">
        <v>1950</v>
      </c>
      <c r="J143" s="4">
        <v>1050</v>
      </c>
      <c r="K143" s="4">
        <v>900</v>
      </c>
    </row>
    <row r="144" spans="1:11">
      <c r="A144" s="2" t="s">
        <v>246</v>
      </c>
      <c r="B144" s="3" t="s">
        <v>103</v>
      </c>
      <c r="C144" s="3" t="s">
        <v>93</v>
      </c>
      <c r="D144" s="3" t="s">
        <v>111</v>
      </c>
      <c r="E144" s="3">
        <v>35</v>
      </c>
      <c r="F144" s="3">
        <v>82</v>
      </c>
      <c r="G144" s="3">
        <v>100</v>
      </c>
      <c r="H144" s="3">
        <v>55</v>
      </c>
      <c r="I144" s="4">
        <v>8200</v>
      </c>
      <c r="J144" s="4">
        <v>4510</v>
      </c>
      <c r="K144" s="4">
        <v>3690</v>
      </c>
    </row>
    <row r="145" spans="1:11">
      <c r="A145" s="2" t="s">
        <v>153</v>
      </c>
      <c r="B145" s="3" t="s">
        <v>106</v>
      </c>
      <c r="C145" s="3" t="s">
        <v>96</v>
      </c>
      <c r="D145" s="3" t="s">
        <v>111</v>
      </c>
      <c r="E145" s="3">
        <v>32</v>
      </c>
      <c r="F145" s="3">
        <v>56</v>
      </c>
      <c r="G145" s="3">
        <v>90</v>
      </c>
      <c r="H145" s="3">
        <v>50</v>
      </c>
      <c r="I145" s="4">
        <v>5040</v>
      </c>
      <c r="J145" s="4">
        <v>2800</v>
      </c>
      <c r="K145" s="4">
        <v>2240</v>
      </c>
    </row>
    <row r="146" spans="1:11">
      <c r="A146" s="2" t="s">
        <v>247</v>
      </c>
      <c r="B146" s="3" t="s">
        <v>104</v>
      </c>
      <c r="C146" s="3" t="s">
        <v>94</v>
      </c>
      <c r="D146" s="3" t="s">
        <v>111</v>
      </c>
      <c r="E146" s="3">
        <v>26</v>
      </c>
      <c r="F146" s="3">
        <v>103</v>
      </c>
      <c r="G146" s="3">
        <v>80</v>
      </c>
      <c r="H146" s="3">
        <v>45</v>
      </c>
      <c r="I146" s="4">
        <v>8240</v>
      </c>
      <c r="J146" s="4">
        <v>4635</v>
      </c>
      <c r="K146" s="4">
        <v>3605</v>
      </c>
    </row>
    <row r="147" spans="1:11">
      <c r="A147" s="2" t="s">
        <v>224</v>
      </c>
      <c r="B147" s="3" t="s">
        <v>103</v>
      </c>
      <c r="C147" s="3" t="s">
        <v>98</v>
      </c>
      <c r="D147" s="3" t="s">
        <v>111</v>
      </c>
      <c r="E147" s="3">
        <v>39</v>
      </c>
      <c r="F147" s="3">
        <v>64</v>
      </c>
      <c r="G147" s="3">
        <v>100</v>
      </c>
      <c r="H147" s="3">
        <v>55</v>
      </c>
      <c r="I147" s="4">
        <v>6400</v>
      </c>
      <c r="J147" s="4">
        <v>3520</v>
      </c>
      <c r="K147" s="4">
        <v>2880</v>
      </c>
    </row>
    <row r="148" spans="1:11">
      <c r="A148" s="2" t="s">
        <v>248</v>
      </c>
      <c r="B148" s="3" t="s">
        <v>104</v>
      </c>
      <c r="C148" s="3" t="s">
        <v>93</v>
      </c>
      <c r="D148" s="3" t="s">
        <v>111</v>
      </c>
      <c r="E148" s="3">
        <v>28</v>
      </c>
      <c r="F148" s="3">
        <v>56</v>
      </c>
      <c r="G148" s="3">
        <v>100</v>
      </c>
      <c r="H148" s="3">
        <v>55</v>
      </c>
      <c r="I148" s="4">
        <v>5600</v>
      </c>
      <c r="J148" s="4">
        <v>3080</v>
      </c>
      <c r="K148" s="4">
        <v>2520</v>
      </c>
    </row>
    <row r="149" spans="1:11">
      <c r="A149" s="2" t="s">
        <v>249</v>
      </c>
      <c r="B149" s="3" t="s">
        <v>105</v>
      </c>
      <c r="C149" s="3" t="s">
        <v>96</v>
      </c>
      <c r="D149" s="3" t="s">
        <v>111</v>
      </c>
      <c r="E149" s="3">
        <v>33</v>
      </c>
      <c r="F149" s="3">
        <v>49</v>
      </c>
      <c r="G149" s="3">
        <v>90</v>
      </c>
      <c r="H149" s="3">
        <v>50</v>
      </c>
      <c r="I149" s="4">
        <v>4410</v>
      </c>
      <c r="J149" s="4">
        <v>2450</v>
      </c>
      <c r="K149" s="4">
        <v>1960</v>
      </c>
    </row>
    <row r="150" spans="1:11">
      <c r="A150" s="2" t="s">
        <v>241</v>
      </c>
      <c r="B150" s="3" t="s">
        <v>104</v>
      </c>
      <c r="C150" s="3" t="s">
        <v>94</v>
      </c>
      <c r="D150" s="3" t="s">
        <v>110</v>
      </c>
      <c r="E150" s="3">
        <v>33</v>
      </c>
      <c r="F150" s="3">
        <v>41</v>
      </c>
      <c r="G150" s="3">
        <v>80</v>
      </c>
      <c r="H150" s="3">
        <v>45</v>
      </c>
      <c r="I150" s="4">
        <v>3280</v>
      </c>
      <c r="J150" s="4">
        <v>1845</v>
      </c>
      <c r="K150" s="4">
        <v>1435</v>
      </c>
    </row>
    <row r="151" spans="1:11">
      <c r="A151" s="2" t="s">
        <v>250</v>
      </c>
      <c r="B151" s="3" t="s">
        <v>103</v>
      </c>
      <c r="C151" s="3" t="s">
        <v>96</v>
      </c>
      <c r="D151" s="3" t="s">
        <v>112</v>
      </c>
      <c r="E151" s="3">
        <v>29</v>
      </c>
      <c r="F151" s="3">
        <v>105</v>
      </c>
      <c r="G151" s="3">
        <v>90</v>
      </c>
      <c r="H151" s="3">
        <v>50</v>
      </c>
      <c r="I151" s="4">
        <v>9450</v>
      </c>
      <c r="J151" s="4">
        <v>5250</v>
      </c>
      <c r="K151" s="4">
        <v>4200</v>
      </c>
    </row>
    <row r="152" spans="1:11">
      <c r="A152" s="2" t="s">
        <v>251</v>
      </c>
      <c r="B152" s="3" t="s">
        <v>103</v>
      </c>
      <c r="C152" s="3" t="s">
        <v>95</v>
      </c>
      <c r="D152" s="3" t="s">
        <v>111</v>
      </c>
      <c r="E152" s="3">
        <v>27</v>
      </c>
      <c r="F152" s="3">
        <v>58</v>
      </c>
      <c r="G152" s="3">
        <v>110</v>
      </c>
      <c r="H152" s="3">
        <v>60</v>
      </c>
      <c r="I152" s="4">
        <v>6380</v>
      </c>
      <c r="J152" s="4">
        <v>3480</v>
      </c>
      <c r="K152" s="4">
        <v>2900</v>
      </c>
    </row>
    <row r="153" spans="1:11">
      <c r="A153" s="2" t="s">
        <v>252</v>
      </c>
      <c r="B153" s="3" t="s">
        <v>106</v>
      </c>
      <c r="C153" s="3" t="s">
        <v>95</v>
      </c>
      <c r="D153" s="3" t="s">
        <v>112</v>
      </c>
      <c r="E153" s="3">
        <v>26</v>
      </c>
      <c r="F153" s="3">
        <v>52</v>
      </c>
      <c r="G153" s="3">
        <v>110</v>
      </c>
      <c r="H153" s="3">
        <v>60</v>
      </c>
      <c r="I153" s="4">
        <v>5720</v>
      </c>
      <c r="J153" s="4">
        <v>3120</v>
      </c>
      <c r="K153" s="4">
        <v>2600</v>
      </c>
    </row>
    <row r="154" spans="1:11">
      <c r="A154" s="2" t="s">
        <v>253</v>
      </c>
      <c r="B154" s="3" t="s">
        <v>103</v>
      </c>
      <c r="C154" s="3" t="s">
        <v>94</v>
      </c>
      <c r="D154" s="3" t="s">
        <v>110</v>
      </c>
      <c r="E154" s="3">
        <v>26</v>
      </c>
      <c r="F154" s="3">
        <v>86</v>
      </c>
      <c r="G154" s="3">
        <v>80</v>
      </c>
      <c r="H154" s="3">
        <v>45</v>
      </c>
      <c r="I154" s="4">
        <v>6880</v>
      </c>
      <c r="J154" s="4">
        <v>3870</v>
      </c>
      <c r="K154" s="4">
        <v>3010</v>
      </c>
    </row>
    <row r="155" spans="1:11">
      <c r="A155" s="2" t="s">
        <v>190</v>
      </c>
      <c r="B155" s="3" t="s">
        <v>103</v>
      </c>
      <c r="C155" s="3" t="s">
        <v>93</v>
      </c>
      <c r="D155" s="3" t="s">
        <v>111</v>
      </c>
      <c r="E155" s="3">
        <v>26</v>
      </c>
      <c r="F155" s="3">
        <v>56</v>
      </c>
      <c r="G155" s="3">
        <v>100</v>
      </c>
      <c r="H155" s="3">
        <v>55</v>
      </c>
      <c r="I155" s="4">
        <v>5600</v>
      </c>
      <c r="J155" s="4">
        <v>3080</v>
      </c>
      <c r="K155" s="4">
        <v>2520</v>
      </c>
    </row>
    <row r="156" spans="1:11">
      <c r="A156" s="2" t="s">
        <v>245</v>
      </c>
      <c r="B156" s="3" t="s">
        <v>106</v>
      </c>
      <c r="C156" s="3" t="s">
        <v>93</v>
      </c>
      <c r="D156" s="3" t="s">
        <v>110</v>
      </c>
      <c r="E156" s="3">
        <v>20</v>
      </c>
      <c r="F156" s="3">
        <v>50</v>
      </c>
      <c r="G156" s="3">
        <v>100</v>
      </c>
      <c r="H156" s="3">
        <v>55</v>
      </c>
      <c r="I156" s="4">
        <v>5000</v>
      </c>
      <c r="J156" s="4">
        <v>2750</v>
      </c>
      <c r="K156" s="4">
        <v>2250</v>
      </c>
    </row>
    <row r="157" spans="1:11">
      <c r="A157" s="2" t="s">
        <v>152</v>
      </c>
      <c r="B157" s="3" t="s">
        <v>106</v>
      </c>
      <c r="C157" s="3" t="s">
        <v>93</v>
      </c>
      <c r="D157" s="3" t="s">
        <v>112</v>
      </c>
      <c r="E157" s="3">
        <v>33</v>
      </c>
      <c r="F157" s="3">
        <v>184</v>
      </c>
      <c r="G157" s="3">
        <v>100</v>
      </c>
      <c r="H157" s="3">
        <v>55</v>
      </c>
      <c r="I157" s="4">
        <v>18400</v>
      </c>
      <c r="J157" s="4">
        <v>10120</v>
      </c>
      <c r="K157" s="4">
        <v>8280</v>
      </c>
    </row>
    <row r="158" spans="1:11">
      <c r="A158" s="2" t="s">
        <v>254</v>
      </c>
      <c r="B158" s="3" t="s">
        <v>103</v>
      </c>
      <c r="C158" s="3" t="s">
        <v>93</v>
      </c>
      <c r="D158" s="3" t="s">
        <v>110</v>
      </c>
      <c r="E158" s="3">
        <v>26</v>
      </c>
      <c r="F158" s="3">
        <v>33</v>
      </c>
      <c r="G158" s="3">
        <v>100</v>
      </c>
      <c r="H158" s="3">
        <v>55</v>
      </c>
      <c r="I158" s="4">
        <v>3300</v>
      </c>
      <c r="J158" s="4">
        <v>1815</v>
      </c>
      <c r="K158" s="4">
        <v>1485</v>
      </c>
    </row>
    <row r="159" spans="1:11">
      <c r="A159" s="2" t="s">
        <v>255</v>
      </c>
      <c r="B159" s="3" t="s">
        <v>106</v>
      </c>
      <c r="C159" s="3" t="s">
        <v>93</v>
      </c>
      <c r="D159" s="3" t="s">
        <v>110</v>
      </c>
      <c r="E159" s="3">
        <v>37</v>
      </c>
      <c r="F159" s="3">
        <v>112</v>
      </c>
      <c r="G159" s="3">
        <v>100</v>
      </c>
      <c r="H159" s="3">
        <v>55</v>
      </c>
      <c r="I159" s="4">
        <v>11200</v>
      </c>
      <c r="J159" s="4">
        <v>6160</v>
      </c>
      <c r="K159" s="4">
        <v>5040</v>
      </c>
    </row>
    <row r="160" spans="1:11">
      <c r="A160" s="2" t="s">
        <v>256</v>
      </c>
      <c r="B160" s="3" t="s">
        <v>105</v>
      </c>
      <c r="C160" s="3" t="s">
        <v>94</v>
      </c>
      <c r="D160" s="3" t="s">
        <v>110</v>
      </c>
      <c r="E160" s="3">
        <v>40</v>
      </c>
      <c r="F160" s="3">
        <v>133</v>
      </c>
      <c r="G160" s="3">
        <v>80</v>
      </c>
      <c r="H160" s="3">
        <v>45</v>
      </c>
      <c r="I160" s="4">
        <v>10640</v>
      </c>
      <c r="J160" s="4">
        <v>5985</v>
      </c>
      <c r="K160" s="4">
        <v>4655</v>
      </c>
    </row>
    <row r="161" spans="1:11">
      <c r="A161" s="2" t="s">
        <v>257</v>
      </c>
      <c r="B161" s="3" t="s">
        <v>106</v>
      </c>
      <c r="C161" s="3" t="s">
        <v>96</v>
      </c>
      <c r="D161" s="3" t="s">
        <v>111</v>
      </c>
      <c r="E161" s="3">
        <v>32</v>
      </c>
      <c r="F161" s="3">
        <v>153</v>
      </c>
      <c r="G161" s="3">
        <v>90</v>
      </c>
      <c r="H161" s="3">
        <v>50</v>
      </c>
      <c r="I161" s="4">
        <v>13770</v>
      </c>
      <c r="J161" s="4">
        <v>7650</v>
      </c>
      <c r="K161" s="4">
        <v>6120</v>
      </c>
    </row>
    <row r="162" spans="1:11">
      <c r="A162" s="2" t="s">
        <v>258</v>
      </c>
      <c r="B162" s="3" t="s">
        <v>103</v>
      </c>
      <c r="C162" s="3" t="s">
        <v>96</v>
      </c>
      <c r="D162" s="3" t="s">
        <v>111</v>
      </c>
      <c r="E162" s="3">
        <v>18</v>
      </c>
      <c r="F162" s="3">
        <v>28</v>
      </c>
      <c r="G162" s="3">
        <v>90</v>
      </c>
      <c r="H162" s="3">
        <v>50</v>
      </c>
      <c r="I162" s="4">
        <v>2520</v>
      </c>
      <c r="J162" s="4">
        <v>1400</v>
      </c>
      <c r="K162" s="4">
        <v>1120</v>
      </c>
    </row>
    <row r="163" spans="1:11">
      <c r="A163" s="2" t="s">
        <v>220</v>
      </c>
      <c r="B163" s="3" t="s">
        <v>104</v>
      </c>
      <c r="C163" s="3" t="s">
        <v>98</v>
      </c>
      <c r="D163" s="3" t="s">
        <v>110</v>
      </c>
      <c r="E163" s="3">
        <v>27</v>
      </c>
      <c r="F163" s="3">
        <v>76</v>
      </c>
      <c r="G163" s="3">
        <v>100</v>
      </c>
      <c r="H163" s="3">
        <v>55</v>
      </c>
      <c r="I163" s="4">
        <v>7600</v>
      </c>
      <c r="J163" s="4">
        <v>4180</v>
      </c>
      <c r="K163" s="4">
        <v>3420</v>
      </c>
    </row>
    <row r="164" spans="1:11">
      <c r="A164" s="2" t="s">
        <v>259</v>
      </c>
      <c r="B164" s="3" t="s">
        <v>104</v>
      </c>
      <c r="C164" s="3" t="s">
        <v>96</v>
      </c>
      <c r="D164" s="3" t="s">
        <v>110</v>
      </c>
      <c r="E164" s="3">
        <v>29</v>
      </c>
      <c r="F164" s="3">
        <v>80</v>
      </c>
      <c r="G164" s="3">
        <v>90</v>
      </c>
      <c r="H164" s="3">
        <v>50</v>
      </c>
      <c r="I164" s="4">
        <v>7200</v>
      </c>
      <c r="J164" s="4">
        <v>4000</v>
      </c>
      <c r="K164" s="4">
        <v>3200</v>
      </c>
    </row>
    <row r="165" spans="1:11">
      <c r="A165" s="2" t="s">
        <v>141</v>
      </c>
      <c r="B165" s="3" t="s">
        <v>106</v>
      </c>
      <c r="C165" s="3" t="s">
        <v>98</v>
      </c>
      <c r="D165" s="3" t="s">
        <v>110</v>
      </c>
      <c r="E165" s="3">
        <v>28</v>
      </c>
      <c r="F165" s="3">
        <v>103</v>
      </c>
      <c r="G165" s="3">
        <v>100</v>
      </c>
      <c r="H165" s="3">
        <v>55</v>
      </c>
      <c r="I165" s="4">
        <v>10300</v>
      </c>
      <c r="J165" s="4">
        <v>5665</v>
      </c>
      <c r="K165" s="4">
        <v>4635</v>
      </c>
    </row>
    <row r="166" spans="1:11">
      <c r="A166" s="2" t="s">
        <v>260</v>
      </c>
      <c r="B166" s="3" t="s">
        <v>106</v>
      </c>
      <c r="C166" s="3" t="s">
        <v>96</v>
      </c>
      <c r="D166" s="3" t="s">
        <v>112</v>
      </c>
      <c r="E166" s="3">
        <v>19</v>
      </c>
      <c r="F166" s="3">
        <v>41</v>
      </c>
      <c r="G166" s="3">
        <v>90</v>
      </c>
      <c r="H166" s="3">
        <v>50</v>
      </c>
      <c r="I166" s="4">
        <v>3690</v>
      </c>
      <c r="J166" s="4">
        <v>2050</v>
      </c>
      <c r="K166" s="4">
        <v>1640</v>
      </c>
    </row>
    <row r="167" spans="1:11">
      <c r="A167" s="2" t="s">
        <v>172</v>
      </c>
      <c r="B167" s="3" t="s">
        <v>104</v>
      </c>
      <c r="C167" s="3" t="s">
        <v>93</v>
      </c>
      <c r="D167" s="3" t="s">
        <v>110</v>
      </c>
      <c r="E167" s="3">
        <v>25</v>
      </c>
      <c r="F167" s="3">
        <v>32</v>
      </c>
      <c r="G167" s="3">
        <v>100</v>
      </c>
      <c r="H167" s="3">
        <v>55</v>
      </c>
      <c r="I167" s="4">
        <v>3200</v>
      </c>
      <c r="J167" s="4">
        <v>1760</v>
      </c>
      <c r="K167" s="4">
        <v>1440</v>
      </c>
    </row>
    <row r="168" spans="1:11">
      <c r="A168" s="2" t="s">
        <v>142</v>
      </c>
      <c r="B168" s="3" t="s">
        <v>104</v>
      </c>
      <c r="C168" s="3" t="s">
        <v>93</v>
      </c>
      <c r="D168" s="3" t="s">
        <v>112</v>
      </c>
      <c r="E168" s="3">
        <v>27</v>
      </c>
      <c r="F168" s="3">
        <v>37</v>
      </c>
      <c r="G168" s="3">
        <v>100</v>
      </c>
      <c r="H168" s="3">
        <v>55</v>
      </c>
      <c r="I168" s="4">
        <v>3700</v>
      </c>
      <c r="J168" s="4">
        <v>2035</v>
      </c>
      <c r="K168" s="4">
        <v>1665</v>
      </c>
    </row>
    <row r="169" spans="1:11">
      <c r="A169" s="2" t="s">
        <v>261</v>
      </c>
      <c r="B169" s="3" t="s">
        <v>105</v>
      </c>
      <c r="C169" s="3" t="s">
        <v>94</v>
      </c>
      <c r="D169" s="3" t="s">
        <v>112</v>
      </c>
      <c r="E169" s="3">
        <v>29</v>
      </c>
      <c r="F169" s="3">
        <v>45</v>
      </c>
      <c r="G169" s="3">
        <v>80</v>
      </c>
      <c r="H169" s="3">
        <v>45</v>
      </c>
      <c r="I169" s="4">
        <v>3600</v>
      </c>
      <c r="J169" s="4">
        <v>2025</v>
      </c>
      <c r="K169" s="4">
        <v>1575</v>
      </c>
    </row>
    <row r="170" spans="1:11">
      <c r="A170" s="2" t="s">
        <v>262</v>
      </c>
      <c r="B170" s="3" t="s">
        <v>104</v>
      </c>
      <c r="C170" s="3" t="s">
        <v>94</v>
      </c>
      <c r="D170" s="3" t="s">
        <v>110</v>
      </c>
      <c r="E170" s="3">
        <v>41</v>
      </c>
      <c r="F170" s="3">
        <v>56</v>
      </c>
      <c r="G170" s="3">
        <v>80</v>
      </c>
      <c r="H170" s="3">
        <v>45</v>
      </c>
      <c r="I170" s="4">
        <v>4480</v>
      </c>
      <c r="J170" s="4">
        <v>2520</v>
      </c>
      <c r="K170" s="4">
        <v>1960</v>
      </c>
    </row>
    <row r="171" spans="1:11">
      <c r="A171" s="2" t="s">
        <v>263</v>
      </c>
      <c r="B171" s="3" t="s">
        <v>106</v>
      </c>
      <c r="C171" s="3" t="s">
        <v>95</v>
      </c>
      <c r="D171" s="3" t="s">
        <v>110</v>
      </c>
      <c r="E171" s="3">
        <v>29</v>
      </c>
      <c r="F171" s="3">
        <v>48</v>
      </c>
      <c r="G171" s="3">
        <v>110</v>
      </c>
      <c r="H171" s="3">
        <v>60</v>
      </c>
      <c r="I171" s="4">
        <v>5280</v>
      </c>
      <c r="J171" s="4">
        <v>2880</v>
      </c>
      <c r="K171" s="4">
        <v>2400</v>
      </c>
    </row>
    <row r="172" spans="1:11">
      <c r="A172" s="2" t="s">
        <v>264</v>
      </c>
      <c r="B172" s="3" t="s">
        <v>106</v>
      </c>
      <c r="C172" s="3" t="s">
        <v>93</v>
      </c>
      <c r="D172" s="3" t="s">
        <v>111</v>
      </c>
      <c r="E172" s="3">
        <v>27</v>
      </c>
      <c r="F172" s="3">
        <v>49</v>
      </c>
      <c r="G172" s="3">
        <v>100</v>
      </c>
      <c r="H172" s="3">
        <v>55</v>
      </c>
      <c r="I172" s="4">
        <v>4900</v>
      </c>
      <c r="J172" s="4">
        <v>2695</v>
      </c>
      <c r="K172" s="4">
        <v>2205</v>
      </c>
    </row>
    <row r="173" spans="1:11">
      <c r="A173" s="2" t="s">
        <v>265</v>
      </c>
      <c r="B173" s="3" t="s">
        <v>103</v>
      </c>
      <c r="C173" s="3" t="s">
        <v>96</v>
      </c>
      <c r="D173" s="3" t="s">
        <v>111</v>
      </c>
      <c r="E173" s="3">
        <v>34</v>
      </c>
      <c r="F173" s="3">
        <v>67</v>
      </c>
      <c r="G173" s="3">
        <v>90</v>
      </c>
      <c r="H173" s="3">
        <v>50</v>
      </c>
      <c r="I173" s="4">
        <v>6030</v>
      </c>
      <c r="J173" s="4">
        <v>3350</v>
      </c>
      <c r="K173" s="4">
        <v>2680</v>
      </c>
    </row>
    <row r="174" spans="1:11">
      <c r="A174" s="2" t="s">
        <v>266</v>
      </c>
      <c r="B174" s="3" t="s">
        <v>103</v>
      </c>
      <c r="C174" s="3" t="s">
        <v>98</v>
      </c>
      <c r="D174" s="3" t="s">
        <v>112</v>
      </c>
      <c r="E174" s="3">
        <v>26</v>
      </c>
      <c r="F174" s="3">
        <v>53</v>
      </c>
      <c r="G174" s="3">
        <v>100</v>
      </c>
      <c r="H174" s="3">
        <v>55</v>
      </c>
      <c r="I174" s="4">
        <v>5300</v>
      </c>
      <c r="J174" s="4">
        <v>2915</v>
      </c>
      <c r="K174" s="4">
        <v>2385</v>
      </c>
    </row>
    <row r="175" spans="1:11">
      <c r="A175" s="2" t="s">
        <v>143</v>
      </c>
      <c r="B175" s="3" t="s">
        <v>106</v>
      </c>
      <c r="C175" s="3" t="s">
        <v>96</v>
      </c>
      <c r="D175" s="3" t="s">
        <v>110</v>
      </c>
      <c r="E175" s="3">
        <v>34</v>
      </c>
      <c r="F175" s="3">
        <v>43</v>
      </c>
      <c r="G175" s="3">
        <v>90</v>
      </c>
      <c r="H175" s="3">
        <v>50</v>
      </c>
      <c r="I175" s="4">
        <v>3870</v>
      </c>
      <c r="J175" s="4">
        <v>2150</v>
      </c>
      <c r="K175" s="4">
        <v>1720</v>
      </c>
    </row>
    <row r="176" spans="1:11">
      <c r="A176" s="2" t="s">
        <v>267</v>
      </c>
      <c r="B176" s="3" t="s">
        <v>104</v>
      </c>
      <c r="C176" s="3" t="s">
        <v>95</v>
      </c>
      <c r="D176" s="3" t="s">
        <v>110</v>
      </c>
      <c r="E176" s="3">
        <v>29</v>
      </c>
      <c r="F176" s="3">
        <v>51</v>
      </c>
      <c r="G176" s="3">
        <v>110</v>
      </c>
      <c r="H176" s="3">
        <v>60</v>
      </c>
      <c r="I176" s="4">
        <v>5610</v>
      </c>
      <c r="J176" s="4">
        <v>3060</v>
      </c>
      <c r="K176" s="4">
        <v>2550</v>
      </c>
    </row>
    <row r="177" spans="1:11">
      <c r="A177" s="2" t="s">
        <v>256</v>
      </c>
      <c r="B177" s="3" t="s">
        <v>103</v>
      </c>
      <c r="C177" s="3" t="s">
        <v>96</v>
      </c>
      <c r="D177" s="3" t="s">
        <v>110</v>
      </c>
      <c r="E177" s="3">
        <v>37</v>
      </c>
      <c r="F177" s="3">
        <v>124</v>
      </c>
      <c r="G177" s="3">
        <v>90</v>
      </c>
      <c r="H177" s="3">
        <v>50</v>
      </c>
      <c r="I177" s="4">
        <v>11160</v>
      </c>
      <c r="J177" s="4">
        <v>6200</v>
      </c>
      <c r="K177" s="4">
        <v>4960</v>
      </c>
    </row>
    <row r="178" spans="1:11">
      <c r="A178" s="2" t="s">
        <v>268</v>
      </c>
      <c r="B178" s="3" t="s">
        <v>106</v>
      </c>
      <c r="C178" s="3" t="s">
        <v>96</v>
      </c>
      <c r="D178" s="3" t="s">
        <v>110</v>
      </c>
      <c r="E178" s="3">
        <v>32</v>
      </c>
      <c r="F178" s="3">
        <v>83</v>
      </c>
      <c r="G178" s="3">
        <v>90</v>
      </c>
      <c r="H178" s="3">
        <v>50</v>
      </c>
      <c r="I178" s="4">
        <v>7470</v>
      </c>
      <c r="J178" s="4">
        <v>4150</v>
      </c>
      <c r="K178" s="4">
        <v>3320</v>
      </c>
    </row>
    <row r="179" spans="1:11">
      <c r="A179" s="2" t="s">
        <v>262</v>
      </c>
      <c r="B179" s="3" t="s">
        <v>106</v>
      </c>
      <c r="C179" s="3" t="s">
        <v>95</v>
      </c>
      <c r="D179" s="3" t="s">
        <v>110</v>
      </c>
      <c r="E179" s="3">
        <v>37</v>
      </c>
      <c r="F179" s="3">
        <v>155</v>
      </c>
      <c r="G179" s="3">
        <v>110</v>
      </c>
      <c r="H179" s="3">
        <v>60</v>
      </c>
      <c r="I179" s="4">
        <v>17050</v>
      </c>
      <c r="J179" s="4">
        <v>9300</v>
      </c>
      <c r="K179" s="4">
        <v>7750</v>
      </c>
    </row>
    <row r="180" spans="1:11">
      <c r="A180" s="2" t="s">
        <v>269</v>
      </c>
      <c r="B180" s="3" t="s">
        <v>106</v>
      </c>
      <c r="C180" s="3" t="s">
        <v>97</v>
      </c>
      <c r="D180" s="3" t="s">
        <v>111</v>
      </c>
      <c r="E180" s="3">
        <v>26</v>
      </c>
      <c r="F180" s="3">
        <v>21</v>
      </c>
      <c r="G180" s="3">
        <v>130</v>
      </c>
      <c r="H180" s="3">
        <v>70</v>
      </c>
      <c r="I180" s="4">
        <v>2730</v>
      </c>
      <c r="J180" s="4">
        <v>1470</v>
      </c>
      <c r="K180" s="4">
        <v>1260</v>
      </c>
    </row>
    <row r="181" spans="1:11">
      <c r="A181" s="2" t="s">
        <v>245</v>
      </c>
      <c r="B181" s="3" t="s">
        <v>106</v>
      </c>
      <c r="C181" s="3" t="s">
        <v>94</v>
      </c>
      <c r="D181" s="3" t="s">
        <v>110</v>
      </c>
      <c r="E181" s="3">
        <v>27</v>
      </c>
      <c r="F181" s="3">
        <v>37</v>
      </c>
      <c r="G181" s="3">
        <v>80</v>
      </c>
      <c r="H181" s="3">
        <v>45</v>
      </c>
      <c r="I181" s="4">
        <v>2960</v>
      </c>
      <c r="J181" s="4">
        <v>1665</v>
      </c>
      <c r="K181" s="4">
        <v>1295</v>
      </c>
    </row>
    <row r="182" spans="1:11">
      <c r="A182" s="2" t="s">
        <v>233</v>
      </c>
      <c r="B182" s="3" t="s">
        <v>103</v>
      </c>
      <c r="C182" s="3" t="s">
        <v>94</v>
      </c>
      <c r="D182" s="3" t="s">
        <v>111</v>
      </c>
      <c r="E182" s="3">
        <v>30</v>
      </c>
      <c r="F182" s="3">
        <v>80</v>
      </c>
      <c r="G182" s="3">
        <v>80</v>
      </c>
      <c r="H182" s="3">
        <v>45</v>
      </c>
      <c r="I182" s="4">
        <v>6400</v>
      </c>
      <c r="J182" s="4">
        <v>3600</v>
      </c>
      <c r="K182" s="4">
        <v>2800</v>
      </c>
    </row>
    <row r="183" spans="1:11">
      <c r="A183" s="2" t="s">
        <v>270</v>
      </c>
      <c r="B183" s="3" t="s">
        <v>103</v>
      </c>
      <c r="C183" s="3" t="s">
        <v>95</v>
      </c>
      <c r="D183" s="3" t="s">
        <v>111</v>
      </c>
      <c r="E183" s="3">
        <v>29</v>
      </c>
      <c r="F183" s="3">
        <v>40</v>
      </c>
      <c r="G183" s="3">
        <v>110</v>
      </c>
      <c r="H183" s="3">
        <v>60</v>
      </c>
      <c r="I183" s="4">
        <v>4400</v>
      </c>
      <c r="J183" s="4">
        <v>2400</v>
      </c>
      <c r="K183" s="4">
        <v>2000</v>
      </c>
    </row>
    <row r="184" spans="1:11">
      <c r="A184" s="2" t="s">
        <v>160</v>
      </c>
      <c r="B184" s="3" t="s">
        <v>105</v>
      </c>
      <c r="C184" s="3" t="s">
        <v>95</v>
      </c>
      <c r="D184" s="3" t="s">
        <v>112</v>
      </c>
      <c r="E184" s="3">
        <v>39</v>
      </c>
      <c r="F184" s="3">
        <v>104</v>
      </c>
      <c r="G184" s="3">
        <v>110</v>
      </c>
      <c r="H184" s="3">
        <v>60</v>
      </c>
      <c r="I184" s="4">
        <v>11440</v>
      </c>
      <c r="J184" s="4">
        <v>6240</v>
      </c>
      <c r="K184" s="4">
        <v>5200</v>
      </c>
    </row>
    <row r="185" spans="1:11">
      <c r="A185" s="2" t="s">
        <v>271</v>
      </c>
      <c r="B185" s="3" t="s">
        <v>104</v>
      </c>
      <c r="C185" s="3" t="s">
        <v>94</v>
      </c>
      <c r="D185" s="3" t="s">
        <v>110</v>
      </c>
      <c r="E185" s="3">
        <v>28</v>
      </c>
      <c r="F185" s="3">
        <v>49</v>
      </c>
      <c r="G185" s="3">
        <v>80</v>
      </c>
      <c r="H185" s="3">
        <v>45</v>
      </c>
      <c r="I185" s="4">
        <v>3920</v>
      </c>
      <c r="J185" s="4">
        <v>2205</v>
      </c>
      <c r="K185" s="4">
        <v>1715</v>
      </c>
    </row>
    <row r="186" spans="1:11">
      <c r="A186" s="2" t="s">
        <v>272</v>
      </c>
      <c r="B186" s="3" t="s">
        <v>106</v>
      </c>
      <c r="C186" s="3" t="s">
        <v>98</v>
      </c>
      <c r="D186" s="3" t="s">
        <v>112</v>
      </c>
      <c r="E186" s="3">
        <v>27</v>
      </c>
      <c r="F186" s="3">
        <v>102</v>
      </c>
      <c r="G186" s="3">
        <v>100</v>
      </c>
      <c r="H186" s="3">
        <v>55</v>
      </c>
      <c r="I186" s="4">
        <v>10200</v>
      </c>
      <c r="J186" s="4">
        <v>5610</v>
      </c>
      <c r="K186" s="4">
        <v>4590</v>
      </c>
    </row>
    <row r="187" spans="1:11">
      <c r="A187" s="2" t="s">
        <v>273</v>
      </c>
      <c r="B187" s="3" t="s">
        <v>105</v>
      </c>
      <c r="C187" s="3" t="s">
        <v>94</v>
      </c>
      <c r="D187" s="3" t="s">
        <v>110</v>
      </c>
      <c r="E187" s="3">
        <v>41</v>
      </c>
      <c r="F187" s="3">
        <v>153</v>
      </c>
      <c r="G187" s="3">
        <v>80</v>
      </c>
      <c r="H187" s="3">
        <v>45</v>
      </c>
      <c r="I187" s="4">
        <v>12240</v>
      </c>
      <c r="J187" s="4">
        <v>6885</v>
      </c>
      <c r="K187" s="4">
        <v>5355</v>
      </c>
    </row>
    <row r="188" spans="1:11">
      <c r="A188" s="2" t="s">
        <v>237</v>
      </c>
      <c r="B188" s="3" t="s">
        <v>106</v>
      </c>
      <c r="C188" s="3" t="s">
        <v>94</v>
      </c>
      <c r="D188" s="3" t="s">
        <v>111</v>
      </c>
      <c r="E188" s="3">
        <v>20</v>
      </c>
      <c r="F188" s="3">
        <v>53</v>
      </c>
      <c r="G188" s="3">
        <v>80</v>
      </c>
      <c r="H188" s="3">
        <v>45</v>
      </c>
      <c r="I188" s="4">
        <v>4240</v>
      </c>
      <c r="J188" s="4">
        <v>2385</v>
      </c>
      <c r="K188" s="4">
        <v>1855</v>
      </c>
    </row>
    <row r="189" spans="1:11">
      <c r="A189" s="2" t="s">
        <v>274</v>
      </c>
      <c r="B189" s="3" t="s">
        <v>104</v>
      </c>
      <c r="C189" s="3" t="s">
        <v>96</v>
      </c>
      <c r="D189" s="3" t="s">
        <v>110</v>
      </c>
      <c r="E189" s="3">
        <v>32</v>
      </c>
      <c r="F189" s="3">
        <v>98</v>
      </c>
      <c r="G189" s="3">
        <v>90</v>
      </c>
      <c r="H189" s="3">
        <v>50</v>
      </c>
      <c r="I189" s="4">
        <v>8820</v>
      </c>
      <c r="J189" s="4">
        <v>4900</v>
      </c>
      <c r="K189" s="4">
        <v>3920</v>
      </c>
    </row>
    <row r="190" spans="1:11">
      <c r="A190" s="2" t="s">
        <v>275</v>
      </c>
      <c r="B190" s="3" t="s">
        <v>104</v>
      </c>
      <c r="C190" s="3" t="s">
        <v>95</v>
      </c>
      <c r="D190" s="3" t="s">
        <v>110</v>
      </c>
      <c r="E190" s="3">
        <v>25</v>
      </c>
      <c r="F190" s="3">
        <v>25</v>
      </c>
      <c r="G190" s="3">
        <v>110</v>
      </c>
      <c r="H190" s="3">
        <v>60</v>
      </c>
      <c r="I190" s="4">
        <v>2750</v>
      </c>
      <c r="J190" s="4">
        <v>1500</v>
      </c>
      <c r="K190" s="4">
        <v>1250</v>
      </c>
    </row>
    <row r="191" spans="1:11">
      <c r="A191" s="2" t="s">
        <v>209</v>
      </c>
      <c r="B191" s="3" t="s">
        <v>106</v>
      </c>
      <c r="C191" s="3" t="s">
        <v>95</v>
      </c>
      <c r="D191" s="3" t="s">
        <v>111</v>
      </c>
      <c r="E191" s="3">
        <v>23</v>
      </c>
      <c r="F191" s="3">
        <v>25</v>
      </c>
      <c r="G191" s="3">
        <v>110</v>
      </c>
      <c r="H191" s="3">
        <v>60</v>
      </c>
      <c r="I191" s="4">
        <v>2750</v>
      </c>
      <c r="J191" s="4">
        <v>1500</v>
      </c>
      <c r="K191" s="4">
        <v>1250</v>
      </c>
    </row>
    <row r="192" spans="1:11">
      <c r="A192" s="2" t="s">
        <v>276</v>
      </c>
      <c r="B192" s="3" t="s">
        <v>104</v>
      </c>
      <c r="C192" s="3" t="s">
        <v>94</v>
      </c>
      <c r="D192" s="3" t="s">
        <v>110</v>
      </c>
      <c r="E192" s="3">
        <v>34</v>
      </c>
      <c r="F192" s="3">
        <v>55</v>
      </c>
      <c r="G192" s="3">
        <v>80</v>
      </c>
      <c r="H192" s="3">
        <v>45</v>
      </c>
      <c r="I192" s="4">
        <v>4400</v>
      </c>
      <c r="J192" s="4">
        <v>2475</v>
      </c>
      <c r="K192" s="4">
        <v>1925</v>
      </c>
    </row>
    <row r="193" spans="1:11">
      <c r="A193" s="2" t="s">
        <v>188</v>
      </c>
      <c r="B193" s="3" t="s">
        <v>103</v>
      </c>
      <c r="C193" s="3" t="s">
        <v>95</v>
      </c>
      <c r="D193" s="3" t="s">
        <v>111</v>
      </c>
      <c r="E193" s="3">
        <v>24</v>
      </c>
      <c r="F193" s="3">
        <v>26</v>
      </c>
      <c r="G193" s="3">
        <v>110</v>
      </c>
      <c r="H193" s="3">
        <v>60</v>
      </c>
      <c r="I193" s="4">
        <v>2860</v>
      </c>
      <c r="J193" s="4">
        <v>1560</v>
      </c>
      <c r="K193" s="4">
        <v>1300</v>
      </c>
    </row>
    <row r="194" spans="1:11">
      <c r="A194" s="2" t="s">
        <v>277</v>
      </c>
      <c r="B194" s="3" t="s">
        <v>106</v>
      </c>
      <c r="C194" s="3" t="s">
        <v>96</v>
      </c>
      <c r="D194" s="3" t="s">
        <v>110</v>
      </c>
      <c r="E194" s="3">
        <v>34</v>
      </c>
      <c r="F194" s="3">
        <v>36</v>
      </c>
      <c r="G194" s="3">
        <v>90</v>
      </c>
      <c r="H194" s="3">
        <v>50</v>
      </c>
      <c r="I194" s="4">
        <v>3240</v>
      </c>
      <c r="J194" s="4">
        <v>1800</v>
      </c>
      <c r="K194" s="4">
        <v>1440</v>
      </c>
    </row>
    <row r="195" spans="1:11">
      <c r="A195" s="2" t="s">
        <v>278</v>
      </c>
      <c r="B195" s="3" t="s">
        <v>104</v>
      </c>
      <c r="C195" s="3" t="s">
        <v>94</v>
      </c>
      <c r="D195" s="3" t="s">
        <v>111</v>
      </c>
      <c r="E195" s="3">
        <v>38</v>
      </c>
      <c r="F195" s="3">
        <v>165</v>
      </c>
      <c r="G195" s="3">
        <v>80</v>
      </c>
      <c r="H195" s="3">
        <v>45</v>
      </c>
      <c r="I195" s="4">
        <v>13200</v>
      </c>
      <c r="J195" s="4">
        <v>7425</v>
      </c>
      <c r="K195" s="4">
        <v>5775</v>
      </c>
    </row>
    <row r="196" spans="1:11">
      <c r="A196" s="2" t="s">
        <v>134</v>
      </c>
      <c r="B196" s="3" t="s">
        <v>104</v>
      </c>
      <c r="C196" s="3" t="s">
        <v>94</v>
      </c>
      <c r="D196" s="3" t="s">
        <v>110</v>
      </c>
      <c r="E196" s="3">
        <v>33</v>
      </c>
      <c r="F196" s="3">
        <v>94</v>
      </c>
      <c r="G196" s="3">
        <v>80</v>
      </c>
      <c r="H196" s="3">
        <v>45</v>
      </c>
      <c r="I196" s="4">
        <v>7520</v>
      </c>
      <c r="J196" s="4">
        <v>4230</v>
      </c>
      <c r="K196" s="4">
        <v>3290</v>
      </c>
    </row>
    <row r="197" spans="1:11">
      <c r="A197" s="2" t="s">
        <v>279</v>
      </c>
      <c r="B197" s="3" t="s">
        <v>103</v>
      </c>
      <c r="C197" s="3" t="s">
        <v>95</v>
      </c>
      <c r="D197" s="3" t="s">
        <v>111</v>
      </c>
      <c r="E197" s="3">
        <v>38</v>
      </c>
      <c r="F197" s="3">
        <v>157</v>
      </c>
      <c r="G197" s="3">
        <v>110</v>
      </c>
      <c r="H197" s="3">
        <v>60</v>
      </c>
      <c r="I197" s="4">
        <v>17270</v>
      </c>
      <c r="J197" s="4">
        <v>9420</v>
      </c>
      <c r="K197" s="4">
        <v>7850</v>
      </c>
    </row>
    <row r="198" spans="1:11">
      <c r="A198" s="2" t="s">
        <v>280</v>
      </c>
      <c r="B198" s="3" t="s">
        <v>104</v>
      </c>
      <c r="C198" s="3" t="s">
        <v>98</v>
      </c>
      <c r="D198" s="3" t="s">
        <v>111</v>
      </c>
      <c r="E198" s="3">
        <v>19</v>
      </c>
      <c r="F198" s="3">
        <v>22</v>
      </c>
      <c r="G198" s="3">
        <v>100</v>
      </c>
      <c r="H198" s="3">
        <v>55</v>
      </c>
      <c r="I198" s="4">
        <v>2200</v>
      </c>
      <c r="J198" s="4">
        <v>1210</v>
      </c>
      <c r="K198" s="4">
        <v>990</v>
      </c>
    </row>
    <row r="199" spans="1:11">
      <c r="A199" s="2" t="s">
        <v>173</v>
      </c>
      <c r="B199" s="3" t="s">
        <v>105</v>
      </c>
      <c r="C199" s="3" t="s">
        <v>98</v>
      </c>
      <c r="D199" s="3" t="s">
        <v>110</v>
      </c>
      <c r="E199" s="3">
        <v>34</v>
      </c>
      <c r="F199" s="3">
        <v>104</v>
      </c>
      <c r="G199" s="3">
        <v>100</v>
      </c>
      <c r="H199" s="3">
        <v>55</v>
      </c>
      <c r="I199" s="4">
        <v>10400</v>
      </c>
      <c r="J199" s="4">
        <v>5720</v>
      </c>
      <c r="K199" s="4">
        <v>4680</v>
      </c>
    </row>
    <row r="200" spans="1:11">
      <c r="A200" s="2" t="s">
        <v>208</v>
      </c>
      <c r="B200" s="3" t="s">
        <v>103</v>
      </c>
      <c r="C200" s="3" t="s">
        <v>97</v>
      </c>
      <c r="D200" s="3" t="s">
        <v>110</v>
      </c>
      <c r="E200" s="3">
        <v>34</v>
      </c>
      <c r="F200" s="3">
        <v>67</v>
      </c>
      <c r="G200" s="3">
        <v>130</v>
      </c>
      <c r="H200" s="3">
        <v>70</v>
      </c>
      <c r="I200" s="4">
        <v>8710</v>
      </c>
      <c r="J200" s="4">
        <v>4690</v>
      </c>
      <c r="K200" s="4">
        <v>4020</v>
      </c>
    </row>
    <row r="201" spans="1:11">
      <c r="A201" s="2" t="s">
        <v>281</v>
      </c>
      <c r="B201" s="3" t="s">
        <v>103</v>
      </c>
      <c r="C201" s="3" t="s">
        <v>94</v>
      </c>
      <c r="D201" s="3" t="s">
        <v>110</v>
      </c>
      <c r="E201" s="3">
        <v>30</v>
      </c>
      <c r="F201" s="3">
        <v>91</v>
      </c>
      <c r="G201" s="3">
        <v>80</v>
      </c>
      <c r="H201" s="3">
        <v>45</v>
      </c>
      <c r="I201" s="4">
        <v>7280</v>
      </c>
      <c r="J201" s="4">
        <v>4095</v>
      </c>
      <c r="K201" s="4">
        <v>3185</v>
      </c>
    </row>
    <row r="202" spans="1:11">
      <c r="A202" s="2" t="s">
        <v>282</v>
      </c>
      <c r="B202" s="3" t="s">
        <v>106</v>
      </c>
      <c r="C202" s="3" t="s">
        <v>96</v>
      </c>
      <c r="D202" s="3" t="s">
        <v>112</v>
      </c>
      <c r="E202" s="3">
        <v>34</v>
      </c>
      <c r="F202" s="3">
        <v>39</v>
      </c>
      <c r="G202" s="3">
        <v>90</v>
      </c>
      <c r="H202" s="3">
        <v>50</v>
      </c>
      <c r="I202" s="4">
        <v>3510</v>
      </c>
      <c r="J202" s="4">
        <v>1950</v>
      </c>
      <c r="K202" s="4">
        <v>1560</v>
      </c>
    </row>
    <row r="203" spans="1:11">
      <c r="A203" s="2" t="s">
        <v>283</v>
      </c>
      <c r="B203" s="3" t="s">
        <v>105</v>
      </c>
      <c r="C203" s="3" t="s">
        <v>96</v>
      </c>
      <c r="D203" s="3" t="s">
        <v>110</v>
      </c>
      <c r="E203" s="3">
        <v>25</v>
      </c>
      <c r="F203" s="3">
        <v>54</v>
      </c>
      <c r="G203" s="3">
        <v>90</v>
      </c>
      <c r="H203" s="3">
        <v>50</v>
      </c>
      <c r="I203" s="4">
        <v>4860</v>
      </c>
      <c r="J203" s="4">
        <v>2700</v>
      </c>
      <c r="K203" s="4">
        <v>2160</v>
      </c>
    </row>
    <row r="204" spans="1:11">
      <c r="A204" s="2" t="s">
        <v>284</v>
      </c>
      <c r="B204" s="3" t="s">
        <v>105</v>
      </c>
      <c r="C204" s="3" t="s">
        <v>98</v>
      </c>
      <c r="D204" s="3" t="s">
        <v>111</v>
      </c>
      <c r="E204" s="3">
        <v>32</v>
      </c>
      <c r="F204" s="3">
        <v>122</v>
      </c>
      <c r="G204" s="3">
        <v>100</v>
      </c>
      <c r="H204" s="3">
        <v>55</v>
      </c>
      <c r="I204" s="4">
        <v>12200</v>
      </c>
      <c r="J204" s="4">
        <v>6710</v>
      </c>
      <c r="K204" s="4">
        <v>5490</v>
      </c>
    </row>
    <row r="205" spans="1:11">
      <c r="A205" s="2" t="s">
        <v>285</v>
      </c>
      <c r="B205" s="3" t="s">
        <v>106</v>
      </c>
      <c r="C205" s="3" t="s">
        <v>94</v>
      </c>
      <c r="D205" s="3" t="s">
        <v>111</v>
      </c>
      <c r="E205" s="3">
        <v>23</v>
      </c>
      <c r="F205" s="3">
        <v>46</v>
      </c>
      <c r="G205" s="3">
        <v>80</v>
      </c>
      <c r="H205" s="3">
        <v>45</v>
      </c>
      <c r="I205" s="4">
        <v>3680</v>
      </c>
      <c r="J205" s="4">
        <v>2070</v>
      </c>
      <c r="K205" s="4">
        <v>1610</v>
      </c>
    </row>
    <row r="206" spans="1:11">
      <c r="A206" s="2" t="s">
        <v>286</v>
      </c>
      <c r="B206" s="3" t="s">
        <v>106</v>
      </c>
      <c r="C206" s="3" t="s">
        <v>98</v>
      </c>
      <c r="D206" s="3" t="s">
        <v>110</v>
      </c>
      <c r="E206" s="3">
        <v>27</v>
      </c>
      <c r="F206" s="3">
        <v>106</v>
      </c>
      <c r="G206" s="3">
        <v>100</v>
      </c>
      <c r="H206" s="3">
        <v>55</v>
      </c>
      <c r="I206" s="4">
        <v>10600</v>
      </c>
      <c r="J206" s="4">
        <v>5830</v>
      </c>
      <c r="K206" s="4">
        <v>4770</v>
      </c>
    </row>
    <row r="207" spans="1:11">
      <c r="A207" s="2" t="s">
        <v>186</v>
      </c>
      <c r="B207" s="3" t="s">
        <v>103</v>
      </c>
      <c r="C207" s="3" t="s">
        <v>95</v>
      </c>
      <c r="D207" s="3" t="s">
        <v>110</v>
      </c>
      <c r="E207" s="3">
        <v>37</v>
      </c>
      <c r="F207" s="3">
        <v>142</v>
      </c>
      <c r="G207" s="3">
        <v>110</v>
      </c>
      <c r="H207" s="3">
        <v>60</v>
      </c>
      <c r="I207" s="4">
        <v>15620</v>
      </c>
      <c r="J207" s="4">
        <v>8520</v>
      </c>
      <c r="K207" s="4">
        <v>7100</v>
      </c>
    </row>
    <row r="208" spans="1:11">
      <c r="A208" s="2" t="s">
        <v>249</v>
      </c>
      <c r="B208" s="3" t="s">
        <v>103</v>
      </c>
      <c r="C208" s="3" t="s">
        <v>96</v>
      </c>
      <c r="D208" s="3" t="s">
        <v>110</v>
      </c>
      <c r="E208" s="3">
        <v>26</v>
      </c>
      <c r="F208" s="3">
        <v>70</v>
      </c>
      <c r="G208" s="3">
        <v>90</v>
      </c>
      <c r="H208" s="3">
        <v>50</v>
      </c>
      <c r="I208" s="4">
        <v>6300</v>
      </c>
      <c r="J208" s="4">
        <v>3500</v>
      </c>
      <c r="K208" s="4">
        <v>2800</v>
      </c>
    </row>
    <row r="209" spans="1:11">
      <c r="A209" s="2" t="s">
        <v>214</v>
      </c>
      <c r="B209" s="3" t="s">
        <v>106</v>
      </c>
      <c r="C209" s="3" t="s">
        <v>98</v>
      </c>
      <c r="D209" s="3" t="s">
        <v>111</v>
      </c>
      <c r="E209" s="3">
        <v>34</v>
      </c>
      <c r="F209" s="3">
        <v>78</v>
      </c>
      <c r="G209" s="3">
        <v>100</v>
      </c>
      <c r="H209" s="3">
        <v>55</v>
      </c>
      <c r="I209" s="4">
        <v>7800</v>
      </c>
      <c r="J209" s="4">
        <v>4290</v>
      </c>
      <c r="K209" s="4">
        <v>3510</v>
      </c>
    </row>
    <row r="210" spans="1:11">
      <c r="A210" s="2" t="s">
        <v>287</v>
      </c>
      <c r="B210" s="3" t="s">
        <v>104</v>
      </c>
      <c r="C210" s="3" t="s">
        <v>96</v>
      </c>
      <c r="D210" s="3" t="s">
        <v>110</v>
      </c>
      <c r="E210" s="3">
        <v>32</v>
      </c>
      <c r="F210" s="3">
        <v>131</v>
      </c>
      <c r="G210" s="3">
        <v>90</v>
      </c>
      <c r="H210" s="3">
        <v>50</v>
      </c>
      <c r="I210" s="4">
        <v>11790</v>
      </c>
      <c r="J210" s="4">
        <v>6550</v>
      </c>
      <c r="K210" s="4">
        <v>5240</v>
      </c>
    </row>
    <row r="211" spans="1:11">
      <c r="A211" s="2" t="s">
        <v>288</v>
      </c>
      <c r="B211" s="3" t="s">
        <v>104</v>
      </c>
      <c r="C211" s="3" t="s">
        <v>98</v>
      </c>
      <c r="D211" s="3" t="s">
        <v>111</v>
      </c>
      <c r="E211" s="3">
        <v>29</v>
      </c>
      <c r="F211" s="3">
        <v>102</v>
      </c>
      <c r="G211" s="3">
        <v>100</v>
      </c>
      <c r="H211" s="3">
        <v>55</v>
      </c>
      <c r="I211" s="4">
        <v>10200</v>
      </c>
      <c r="J211" s="4">
        <v>5610</v>
      </c>
      <c r="K211" s="4">
        <v>4590</v>
      </c>
    </row>
    <row r="212" spans="1:11">
      <c r="A212" s="2" t="s">
        <v>289</v>
      </c>
      <c r="B212" s="3" t="s">
        <v>106</v>
      </c>
      <c r="C212" s="3" t="s">
        <v>94</v>
      </c>
      <c r="D212" s="3" t="s">
        <v>110</v>
      </c>
      <c r="E212" s="3">
        <v>26</v>
      </c>
      <c r="F212" s="3">
        <v>37</v>
      </c>
      <c r="G212" s="3">
        <v>80</v>
      </c>
      <c r="H212" s="3">
        <v>45</v>
      </c>
      <c r="I212" s="4">
        <v>2960</v>
      </c>
      <c r="J212" s="4">
        <v>1665</v>
      </c>
      <c r="K212" s="4">
        <v>1295</v>
      </c>
    </row>
    <row r="213" spans="1:11">
      <c r="A213" s="2" t="s">
        <v>265</v>
      </c>
      <c r="B213" s="3" t="s">
        <v>106</v>
      </c>
      <c r="C213" s="3" t="s">
        <v>97</v>
      </c>
      <c r="D213" s="3" t="s">
        <v>111</v>
      </c>
      <c r="E213" s="3">
        <v>34</v>
      </c>
      <c r="F213" s="3">
        <v>69</v>
      </c>
      <c r="G213" s="3">
        <v>130</v>
      </c>
      <c r="H213" s="3">
        <v>70</v>
      </c>
      <c r="I213" s="4">
        <v>8970</v>
      </c>
      <c r="J213" s="4">
        <v>4830</v>
      </c>
      <c r="K213" s="4">
        <v>4140</v>
      </c>
    </row>
    <row r="214" spans="1:11">
      <c r="A214" s="2" t="s">
        <v>248</v>
      </c>
      <c r="B214" s="3" t="s">
        <v>103</v>
      </c>
      <c r="C214" s="3" t="s">
        <v>95</v>
      </c>
      <c r="D214" s="3" t="s">
        <v>110</v>
      </c>
      <c r="E214" s="3">
        <v>33</v>
      </c>
      <c r="F214" s="3">
        <v>67</v>
      </c>
      <c r="G214" s="3">
        <v>110</v>
      </c>
      <c r="H214" s="3">
        <v>60</v>
      </c>
      <c r="I214" s="4">
        <v>7370</v>
      </c>
      <c r="J214" s="4">
        <v>4020</v>
      </c>
      <c r="K214" s="4">
        <v>3350</v>
      </c>
    </row>
    <row r="215" spans="1:11">
      <c r="A215" s="2" t="s">
        <v>290</v>
      </c>
      <c r="B215" s="3" t="s">
        <v>104</v>
      </c>
      <c r="C215" s="3" t="s">
        <v>95</v>
      </c>
      <c r="D215" s="3" t="s">
        <v>110</v>
      </c>
      <c r="E215" s="3">
        <v>30</v>
      </c>
      <c r="F215" s="3">
        <v>89</v>
      </c>
      <c r="G215" s="3">
        <v>110</v>
      </c>
      <c r="H215" s="3">
        <v>60</v>
      </c>
      <c r="I215" s="4">
        <v>9790</v>
      </c>
      <c r="J215" s="4">
        <v>5340</v>
      </c>
      <c r="K215" s="4">
        <v>4450</v>
      </c>
    </row>
    <row r="216" spans="1:11">
      <c r="A216" s="2" t="s">
        <v>147</v>
      </c>
      <c r="B216" s="3" t="s">
        <v>106</v>
      </c>
      <c r="C216" s="3" t="s">
        <v>94</v>
      </c>
      <c r="D216" s="3" t="s">
        <v>111</v>
      </c>
      <c r="E216" s="3">
        <v>41</v>
      </c>
      <c r="F216" s="3">
        <v>164</v>
      </c>
      <c r="G216" s="3">
        <v>80</v>
      </c>
      <c r="H216" s="3">
        <v>45</v>
      </c>
      <c r="I216" s="4">
        <v>13120</v>
      </c>
      <c r="J216" s="4">
        <v>7380</v>
      </c>
      <c r="K216" s="4">
        <v>5740</v>
      </c>
    </row>
    <row r="217" spans="1:11">
      <c r="A217" s="2" t="s">
        <v>291</v>
      </c>
      <c r="B217" s="3" t="s">
        <v>105</v>
      </c>
      <c r="C217" s="3" t="s">
        <v>93</v>
      </c>
      <c r="D217" s="3" t="s">
        <v>111</v>
      </c>
      <c r="E217" s="3">
        <v>18</v>
      </c>
      <c r="F217" s="3">
        <v>54</v>
      </c>
      <c r="G217" s="3">
        <v>100</v>
      </c>
      <c r="H217" s="3">
        <v>55</v>
      </c>
      <c r="I217" s="4">
        <v>5400</v>
      </c>
      <c r="J217" s="4">
        <v>2970</v>
      </c>
      <c r="K217" s="4">
        <v>2430</v>
      </c>
    </row>
    <row r="218" spans="1:11">
      <c r="A218" s="2" t="s">
        <v>292</v>
      </c>
      <c r="B218" s="3" t="s">
        <v>106</v>
      </c>
      <c r="C218" s="3" t="s">
        <v>96</v>
      </c>
      <c r="D218" s="3" t="s">
        <v>110</v>
      </c>
      <c r="E218" s="3">
        <v>34</v>
      </c>
      <c r="F218" s="3">
        <v>88</v>
      </c>
      <c r="G218" s="3">
        <v>90</v>
      </c>
      <c r="H218" s="3">
        <v>50</v>
      </c>
      <c r="I218" s="4">
        <v>7920</v>
      </c>
      <c r="J218" s="4">
        <v>4400</v>
      </c>
      <c r="K218" s="4">
        <v>3520</v>
      </c>
    </row>
    <row r="219" spans="1:11">
      <c r="A219" s="2" t="s">
        <v>293</v>
      </c>
      <c r="B219" s="3" t="s">
        <v>105</v>
      </c>
      <c r="C219" s="3" t="s">
        <v>98</v>
      </c>
      <c r="D219" s="3" t="s">
        <v>111</v>
      </c>
      <c r="E219" s="3">
        <v>31</v>
      </c>
      <c r="F219" s="3">
        <v>92</v>
      </c>
      <c r="G219" s="3">
        <v>100</v>
      </c>
      <c r="H219" s="3">
        <v>55</v>
      </c>
      <c r="I219" s="4">
        <v>9200</v>
      </c>
      <c r="J219" s="4">
        <v>5060</v>
      </c>
      <c r="K219" s="4">
        <v>4140</v>
      </c>
    </row>
    <row r="220" spans="1:11">
      <c r="A220" s="2" t="s">
        <v>294</v>
      </c>
      <c r="B220" s="3" t="s">
        <v>106</v>
      </c>
      <c r="C220" s="3" t="s">
        <v>94</v>
      </c>
      <c r="D220" s="3" t="s">
        <v>112</v>
      </c>
      <c r="E220" s="3">
        <v>32</v>
      </c>
      <c r="F220" s="3">
        <v>60</v>
      </c>
      <c r="G220" s="3">
        <v>80</v>
      </c>
      <c r="H220" s="3">
        <v>45</v>
      </c>
      <c r="I220" s="4">
        <v>4800</v>
      </c>
      <c r="J220" s="4">
        <v>2700</v>
      </c>
      <c r="K220" s="4">
        <v>2100</v>
      </c>
    </row>
    <row r="221" spans="1:11">
      <c r="A221" s="2" t="s">
        <v>295</v>
      </c>
      <c r="B221" s="3" t="s">
        <v>105</v>
      </c>
      <c r="C221" s="3" t="s">
        <v>93</v>
      </c>
      <c r="D221" s="3" t="s">
        <v>110</v>
      </c>
      <c r="E221" s="3">
        <v>33</v>
      </c>
      <c r="F221" s="3">
        <v>149</v>
      </c>
      <c r="G221" s="3">
        <v>100</v>
      </c>
      <c r="H221" s="3">
        <v>55</v>
      </c>
      <c r="I221" s="4">
        <v>14900</v>
      </c>
      <c r="J221" s="4">
        <v>8195</v>
      </c>
      <c r="K221" s="4">
        <v>6705</v>
      </c>
    </row>
    <row r="222" spans="1:11">
      <c r="A222" s="2" t="s">
        <v>296</v>
      </c>
      <c r="B222" s="3" t="s">
        <v>103</v>
      </c>
      <c r="C222" s="3" t="s">
        <v>95</v>
      </c>
      <c r="D222" s="3" t="s">
        <v>110</v>
      </c>
      <c r="E222" s="3">
        <v>26</v>
      </c>
      <c r="F222" s="3">
        <v>42</v>
      </c>
      <c r="G222" s="3">
        <v>110</v>
      </c>
      <c r="H222" s="3">
        <v>60</v>
      </c>
      <c r="I222" s="4">
        <v>4620</v>
      </c>
      <c r="J222" s="4">
        <v>2520</v>
      </c>
      <c r="K222" s="4">
        <v>2100</v>
      </c>
    </row>
    <row r="223" spans="1:11">
      <c r="A223" s="2" t="s">
        <v>159</v>
      </c>
      <c r="B223" s="3" t="s">
        <v>103</v>
      </c>
      <c r="C223" s="3" t="s">
        <v>96</v>
      </c>
      <c r="D223" s="3" t="s">
        <v>111</v>
      </c>
      <c r="E223" s="3">
        <v>31</v>
      </c>
      <c r="F223" s="3">
        <v>64</v>
      </c>
      <c r="G223" s="3">
        <v>90</v>
      </c>
      <c r="H223" s="3">
        <v>50</v>
      </c>
      <c r="I223" s="4">
        <v>5760</v>
      </c>
      <c r="J223" s="4">
        <v>3200</v>
      </c>
      <c r="K223" s="4">
        <v>2560</v>
      </c>
    </row>
    <row r="224" spans="1:11">
      <c r="A224" s="2" t="s">
        <v>297</v>
      </c>
      <c r="B224" s="3" t="s">
        <v>106</v>
      </c>
      <c r="C224" s="3" t="s">
        <v>93</v>
      </c>
      <c r="D224" s="3" t="s">
        <v>110</v>
      </c>
      <c r="E224" s="3">
        <v>36</v>
      </c>
      <c r="F224" s="3">
        <v>128</v>
      </c>
      <c r="G224" s="3">
        <v>100</v>
      </c>
      <c r="H224" s="3">
        <v>55</v>
      </c>
      <c r="I224" s="4">
        <v>12800</v>
      </c>
      <c r="J224" s="4">
        <v>7040</v>
      </c>
      <c r="K224" s="4">
        <v>5760</v>
      </c>
    </row>
    <row r="225" spans="1:11">
      <c r="A225" s="2" t="s">
        <v>298</v>
      </c>
      <c r="B225" s="3" t="s">
        <v>105</v>
      </c>
      <c r="C225" s="3" t="s">
        <v>97</v>
      </c>
      <c r="D225" s="3" t="s">
        <v>110</v>
      </c>
      <c r="E225" s="3">
        <v>26</v>
      </c>
      <c r="F225" s="3">
        <v>93</v>
      </c>
      <c r="G225" s="3">
        <v>130</v>
      </c>
      <c r="H225" s="3">
        <v>70</v>
      </c>
      <c r="I225" s="4">
        <v>12090</v>
      </c>
      <c r="J225" s="4">
        <v>6510</v>
      </c>
      <c r="K225" s="4">
        <v>5580</v>
      </c>
    </row>
    <row r="226" spans="1:11">
      <c r="A226" s="2" t="s">
        <v>299</v>
      </c>
      <c r="B226" s="3" t="s">
        <v>104</v>
      </c>
      <c r="C226" s="3" t="s">
        <v>94</v>
      </c>
      <c r="D226" s="3" t="s">
        <v>110</v>
      </c>
      <c r="E226" s="3">
        <v>25</v>
      </c>
      <c r="F226" s="3">
        <v>35</v>
      </c>
      <c r="G226" s="3">
        <v>80</v>
      </c>
      <c r="H226" s="3">
        <v>45</v>
      </c>
      <c r="I226" s="4">
        <v>2800</v>
      </c>
      <c r="J226" s="4">
        <v>1575</v>
      </c>
      <c r="K226" s="4">
        <v>1225</v>
      </c>
    </row>
    <row r="227" spans="1:11">
      <c r="A227" s="2" t="s">
        <v>250</v>
      </c>
      <c r="B227" s="3" t="s">
        <v>106</v>
      </c>
      <c r="C227" s="3" t="s">
        <v>98</v>
      </c>
      <c r="D227" s="3" t="s">
        <v>112</v>
      </c>
      <c r="E227" s="3">
        <v>28</v>
      </c>
      <c r="F227" s="3">
        <v>65</v>
      </c>
      <c r="G227" s="3">
        <v>100</v>
      </c>
      <c r="H227" s="3">
        <v>55</v>
      </c>
      <c r="I227" s="4">
        <v>6500</v>
      </c>
      <c r="J227" s="4">
        <v>3575</v>
      </c>
      <c r="K227" s="4">
        <v>2925</v>
      </c>
    </row>
    <row r="228" spans="1:11">
      <c r="A228" s="2" t="s">
        <v>235</v>
      </c>
      <c r="B228" s="3" t="s">
        <v>106</v>
      </c>
      <c r="C228" s="3" t="s">
        <v>94</v>
      </c>
      <c r="D228" s="3" t="s">
        <v>110</v>
      </c>
      <c r="E228" s="3">
        <v>20</v>
      </c>
      <c r="F228" s="3">
        <v>41</v>
      </c>
      <c r="G228" s="3">
        <v>80</v>
      </c>
      <c r="H228" s="3">
        <v>45</v>
      </c>
      <c r="I228" s="4">
        <v>3280</v>
      </c>
      <c r="J228" s="4">
        <v>1845</v>
      </c>
      <c r="K228" s="4">
        <v>1435</v>
      </c>
    </row>
    <row r="229" spans="1:11">
      <c r="A229" s="2" t="s">
        <v>300</v>
      </c>
      <c r="B229" s="3" t="s">
        <v>103</v>
      </c>
      <c r="C229" s="3" t="s">
        <v>94</v>
      </c>
      <c r="D229" s="3" t="s">
        <v>110</v>
      </c>
      <c r="E229" s="3">
        <v>26</v>
      </c>
      <c r="F229" s="3">
        <v>33</v>
      </c>
      <c r="G229" s="3">
        <v>80</v>
      </c>
      <c r="H229" s="3">
        <v>45</v>
      </c>
      <c r="I229" s="4">
        <v>2640</v>
      </c>
      <c r="J229" s="4">
        <v>1485</v>
      </c>
      <c r="K229" s="4">
        <v>1155</v>
      </c>
    </row>
    <row r="230" spans="1:11">
      <c r="A230" s="2" t="s">
        <v>287</v>
      </c>
      <c r="B230" s="3" t="s">
        <v>103</v>
      </c>
      <c r="C230" s="3" t="s">
        <v>93</v>
      </c>
      <c r="D230" s="3" t="s">
        <v>111</v>
      </c>
      <c r="E230" s="3">
        <v>35</v>
      </c>
      <c r="F230" s="3">
        <v>124</v>
      </c>
      <c r="G230" s="3">
        <v>100</v>
      </c>
      <c r="H230" s="3">
        <v>55</v>
      </c>
      <c r="I230" s="4">
        <v>12400</v>
      </c>
      <c r="J230" s="4">
        <v>6820</v>
      </c>
      <c r="K230" s="4">
        <v>5580</v>
      </c>
    </row>
    <row r="231" spans="1:11">
      <c r="A231" s="2" t="s">
        <v>223</v>
      </c>
      <c r="B231" s="3" t="s">
        <v>105</v>
      </c>
      <c r="C231" s="3" t="s">
        <v>94</v>
      </c>
      <c r="D231" s="3" t="s">
        <v>111</v>
      </c>
      <c r="E231" s="3">
        <v>28</v>
      </c>
      <c r="F231" s="3">
        <v>56</v>
      </c>
      <c r="G231" s="3">
        <v>80</v>
      </c>
      <c r="H231" s="3">
        <v>45</v>
      </c>
      <c r="I231" s="4">
        <v>4480</v>
      </c>
      <c r="J231" s="4">
        <v>2520</v>
      </c>
      <c r="K231" s="4">
        <v>1960</v>
      </c>
    </row>
    <row r="232" spans="1:11">
      <c r="A232" s="2" t="s">
        <v>301</v>
      </c>
      <c r="B232" s="3" t="s">
        <v>103</v>
      </c>
      <c r="C232" s="3" t="s">
        <v>97</v>
      </c>
      <c r="D232" s="3" t="s">
        <v>111</v>
      </c>
      <c r="E232" s="3">
        <v>22</v>
      </c>
      <c r="F232" s="3">
        <v>56</v>
      </c>
      <c r="G232" s="3">
        <v>130</v>
      </c>
      <c r="H232" s="3">
        <v>70</v>
      </c>
      <c r="I232" s="4">
        <v>7280</v>
      </c>
      <c r="J232" s="4">
        <v>3920</v>
      </c>
      <c r="K232" s="4">
        <v>3360</v>
      </c>
    </row>
    <row r="233" spans="1:11">
      <c r="A233" s="2" t="s">
        <v>302</v>
      </c>
      <c r="B233" s="3" t="s">
        <v>103</v>
      </c>
      <c r="C233" s="3" t="s">
        <v>93</v>
      </c>
      <c r="D233" s="3" t="s">
        <v>112</v>
      </c>
      <c r="E233" s="3">
        <v>41</v>
      </c>
      <c r="F233" s="3">
        <v>50</v>
      </c>
      <c r="G233" s="3">
        <v>100</v>
      </c>
      <c r="H233" s="3">
        <v>55</v>
      </c>
      <c r="I233" s="4">
        <v>5000</v>
      </c>
      <c r="J233" s="4">
        <v>2750</v>
      </c>
      <c r="K233" s="4">
        <v>2250</v>
      </c>
    </row>
    <row r="234" spans="1:11">
      <c r="A234" s="2" t="s">
        <v>280</v>
      </c>
      <c r="B234" s="3" t="s">
        <v>103</v>
      </c>
      <c r="C234" s="3" t="s">
        <v>95</v>
      </c>
      <c r="D234" s="3" t="s">
        <v>112</v>
      </c>
      <c r="E234" s="3">
        <v>19</v>
      </c>
      <c r="F234" s="3">
        <v>33</v>
      </c>
      <c r="G234" s="3">
        <v>110</v>
      </c>
      <c r="H234" s="3">
        <v>60</v>
      </c>
      <c r="I234" s="4">
        <v>3630</v>
      </c>
      <c r="J234" s="4">
        <v>1980</v>
      </c>
      <c r="K234" s="4">
        <v>1650</v>
      </c>
    </row>
    <row r="235" spans="1:11">
      <c r="A235" s="2" t="s">
        <v>303</v>
      </c>
      <c r="B235" s="3" t="s">
        <v>104</v>
      </c>
      <c r="C235" s="3" t="s">
        <v>93</v>
      </c>
      <c r="D235" s="3" t="s">
        <v>110</v>
      </c>
      <c r="E235" s="3">
        <v>30</v>
      </c>
      <c r="F235" s="3">
        <v>46</v>
      </c>
      <c r="G235" s="3">
        <v>100</v>
      </c>
      <c r="H235" s="3">
        <v>55</v>
      </c>
      <c r="I235" s="4">
        <v>4600</v>
      </c>
      <c r="J235" s="4">
        <v>2530</v>
      </c>
      <c r="K235" s="4">
        <v>2070</v>
      </c>
    </row>
    <row r="236" spans="1:11">
      <c r="A236" s="2" t="s">
        <v>304</v>
      </c>
      <c r="B236" s="3" t="s">
        <v>106</v>
      </c>
      <c r="C236" s="3" t="s">
        <v>95</v>
      </c>
      <c r="D236" s="3" t="s">
        <v>111</v>
      </c>
      <c r="E236" s="3">
        <v>22</v>
      </c>
      <c r="F236" s="3">
        <v>12</v>
      </c>
      <c r="G236" s="3">
        <v>110</v>
      </c>
      <c r="H236" s="3">
        <v>60</v>
      </c>
      <c r="I236" s="4">
        <v>1320</v>
      </c>
      <c r="J236" s="4">
        <v>720</v>
      </c>
      <c r="K236" s="4">
        <v>600</v>
      </c>
    </row>
    <row r="237" spans="1:11">
      <c r="A237" s="2" t="s">
        <v>305</v>
      </c>
      <c r="B237" s="3" t="s">
        <v>105</v>
      </c>
      <c r="C237" s="3" t="s">
        <v>97</v>
      </c>
      <c r="D237" s="3" t="s">
        <v>111</v>
      </c>
      <c r="E237" s="3">
        <v>24</v>
      </c>
      <c r="F237" s="3">
        <v>34</v>
      </c>
      <c r="G237" s="3">
        <v>130</v>
      </c>
      <c r="H237" s="3">
        <v>70</v>
      </c>
      <c r="I237" s="4">
        <v>4420</v>
      </c>
      <c r="J237" s="4">
        <v>2380</v>
      </c>
      <c r="K237" s="4">
        <v>2040</v>
      </c>
    </row>
    <row r="238" spans="1:11">
      <c r="A238" s="2" t="s">
        <v>182</v>
      </c>
      <c r="B238" s="3" t="s">
        <v>103</v>
      </c>
      <c r="C238" s="3" t="s">
        <v>96</v>
      </c>
      <c r="D238" s="3" t="s">
        <v>111</v>
      </c>
      <c r="E238" s="3">
        <v>34</v>
      </c>
      <c r="F238" s="3">
        <v>77</v>
      </c>
      <c r="G238" s="3">
        <v>90</v>
      </c>
      <c r="H238" s="3">
        <v>50</v>
      </c>
      <c r="I238" s="4">
        <v>6930</v>
      </c>
      <c r="J238" s="4">
        <v>3850</v>
      </c>
      <c r="K238" s="4">
        <v>3080</v>
      </c>
    </row>
    <row r="239" spans="1:11">
      <c r="A239" s="2" t="s">
        <v>190</v>
      </c>
      <c r="B239" s="3" t="s">
        <v>103</v>
      </c>
      <c r="C239" s="3" t="s">
        <v>95</v>
      </c>
      <c r="D239" s="3" t="s">
        <v>111</v>
      </c>
      <c r="E239" s="3">
        <v>18</v>
      </c>
      <c r="F239" s="3">
        <v>17</v>
      </c>
      <c r="G239" s="3">
        <v>110</v>
      </c>
      <c r="H239" s="3">
        <v>60</v>
      </c>
      <c r="I239" s="4">
        <v>1870</v>
      </c>
      <c r="J239" s="4">
        <v>1020</v>
      </c>
      <c r="K239" s="4">
        <v>850</v>
      </c>
    </row>
    <row r="240" spans="1:11">
      <c r="A240" s="2" t="s">
        <v>306</v>
      </c>
      <c r="B240" s="3" t="s">
        <v>105</v>
      </c>
      <c r="C240" s="3" t="s">
        <v>93</v>
      </c>
      <c r="D240" s="3" t="s">
        <v>110</v>
      </c>
      <c r="E240" s="3">
        <v>37</v>
      </c>
      <c r="F240" s="3">
        <v>144</v>
      </c>
      <c r="G240" s="3">
        <v>100</v>
      </c>
      <c r="H240" s="3">
        <v>55</v>
      </c>
      <c r="I240" s="4">
        <v>14400</v>
      </c>
      <c r="J240" s="4">
        <v>7920</v>
      </c>
      <c r="K240" s="4">
        <v>6480</v>
      </c>
    </row>
    <row r="241" spans="1:11">
      <c r="A241" s="2" t="s">
        <v>307</v>
      </c>
      <c r="B241" s="3" t="s">
        <v>105</v>
      </c>
      <c r="C241" s="3" t="s">
        <v>95</v>
      </c>
      <c r="D241" s="3" t="s">
        <v>112</v>
      </c>
      <c r="E241" s="3">
        <v>33</v>
      </c>
      <c r="F241" s="3">
        <v>70</v>
      </c>
      <c r="G241" s="3">
        <v>110</v>
      </c>
      <c r="H241" s="3">
        <v>60</v>
      </c>
      <c r="I241" s="4">
        <v>7700</v>
      </c>
      <c r="J241" s="4">
        <v>4200</v>
      </c>
      <c r="K241" s="4">
        <v>3500</v>
      </c>
    </row>
    <row r="242" spans="1:11">
      <c r="A242" s="2" t="s">
        <v>308</v>
      </c>
      <c r="B242" s="3" t="s">
        <v>103</v>
      </c>
      <c r="C242" s="3" t="s">
        <v>93</v>
      </c>
      <c r="D242" s="3" t="s">
        <v>110</v>
      </c>
      <c r="E242" s="3">
        <v>31</v>
      </c>
      <c r="F242" s="3">
        <v>75</v>
      </c>
      <c r="G242" s="3">
        <v>100</v>
      </c>
      <c r="H242" s="3">
        <v>55</v>
      </c>
      <c r="I242" s="4">
        <v>7500</v>
      </c>
      <c r="J242" s="4">
        <v>4125</v>
      </c>
      <c r="K242" s="4">
        <v>3375</v>
      </c>
    </row>
    <row r="243" spans="1:11">
      <c r="A243" s="2" t="s">
        <v>194</v>
      </c>
      <c r="B243" s="3" t="s">
        <v>103</v>
      </c>
      <c r="C243" s="3" t="s">
        <v>94</v>
      </c>
      <c r="D243" s="3" t="s">
        <v>111</v>
      </c>
      <c r="E243" s="3">
        <v>33</v>
      </c>
      <c r="F243" s="3">
        <v>146</v>
      </c>
      <c r="G243" s="3">
        <v>80</v>
      </c>
      <c r="H243" s="3">
        <v>45</v>
      </c>
      <c r="I243" s="4">
        <v>11680</v>
      </c>
      <c r="J243" s="4">
        <v>6570</v>
      </c>
      <c r="K243" s="4">
        <v>5110</v>
      </c>
    </row>
    <row r="244" spans="1:11">
      <c r="A244" s="2" t="s">
        <v>158</v>
      </c>
      <c r="B244" s="3" t="s">
        <v>104</v>
      </c>
      <c r="C244" s="3" t="s">
        <v>94</v>
      </c>
      <c r="D244" s="3" t="s">
        <v>110</v>
      </c>
      <c r="E244" s="3">
        <v>31</v>
      </c>
      <c r="F244" s="3">
        <v>55</v>
      </c>
      <c r="G244" s="3">
        <v>80</v>
      </c>
      <c r="H244" s="3">
        <v>45</v>
      </c>
      <c r="I244" s="4">
        <v>4400</v>
      </c>
      <c r="J244" s="4">
        <v>2475</v>
      </c>
      <c r="K244" s="4">
        <v>1925</v>
      </c>
    </row>
    <row r="245" spans="1:11">
      <c r="A245" s="2" t="s">
        <v>134</v>
      </c>
      <c r="B245" s="3" t="s">
        <v>104</v>
      </c>
      <c r="C245" s="3" t="s">
        <v>94</v>
      </c>
      <c r="D245" s="3" t="s">
        <v>111</v>
      </c>
      <c r="E245" s="3">
        <v>33</v>
      </c>
      <c r="F245" s="3">
        <v>192</v>
      </c>
      <c r="G245" s="3">
        <v>80</v>
      </c>
      <c r="H245" s="3">
        <v>45</v>
      </c>
      <c r="I245" s="4">
        <v>15360</v>
      </c>
      <c r="J245" s="4">
        <v>8640</v>
      </c>
      <c r="K245" s="4">
        <v>6720</v>
      </c>
    </row>
    <row r="246" spans="1:11">
      <c r="A246" s="2" t="s">
        <v>309</v>
      </c>
      <c r="B246" s="3" t="s">
        <v>103</v>
      </c>
      <c r="C246" s="3" t="s">
        <v>94</v>
      </c>
      <c r="D246" s="3" t="s">
        <v>111</v>
      </c>
      <c r="E246" s="3">
        <v>37</v>
      </c>
      <c r="F246" s="3">
        <v>172</v>
      </c>
      <c r="G246" s="3">
        <v>80</v>
      </c>
      <c r="H246" s="3">
        <v>45</v>
      </c>
      <c r="I246" s="4">
        <v>13760</v>
      </c>
      <c r="J246" s="4">
        <v>7740</v>
      </c>
      <c r="K246" s="4">
        <v>6020</v>
      </c>
    </row>
    <row r="247" spans="1:11">
      <c r="A247" s="2" t="s">
        <v>170</v>
      </c>
      <c r="B247" s="3" t="s">
        <v>103</v>
      </c>
      <c r="C247" s="3" t="s">
        <v>97</v>
      </c>
      <c r="D247" s="3" t="s">
        <v>111</v>
      </c>
      <c r="E247" s="3">
        <v>25</v>
      </c>
      <c r="F247" s="3">
        <v>59</v>
      </c>
      <c r="G247" s="3">
        <v>130</v>
      </c>
      <c r="H247" s="3">
        <v>70</v>
      </c>
      <c r="I247" s="4">
        <v>7670</v>
      </c>
      <c r="J247" s="4">
        <v>4130</v>
      </c>
      <c r="K247" s="4">
        <v>3540</v>
      </c>
    </row>
    <row r="248" spans="1:11">
      <c r="A248" s="2" t="s">
        <v>310</v>
      </c>
      <c r="B248" s="3" t="s">
        <v>106</v>
      </c>
      <c r="C248" s="3" t="s">
        <v>95</v>
      </c>
      <c r="D248" s="3" t="s">
        <v>110</v>
      </c>
      <c r="E248" s="3">
        <v>21</v>
      </c>
      <c r="F248" s="3">
        <v>16</v>
      </c>
      <c r="G248" s="3">
        <v>110</v>
      </c>
      <c r="H248" s="3">
        <v>60</v>
      </c>
      <c r="I248" s="4">
        <v>1760</v>
      </c>
      <c r="J248" s="4">
        <v>960</v>
      </c>
      <c r="K248" s="4">
        <v>800</v>
      </c>
    </row>
    <row r="249" spans="1:11">
      <c r="A249" s="2" t="s">
        <v>311</v>
      </c>
      <c r="B249" s="3" t="s">
        <v>106</v>
      </c>
      <c r="C249" s="3" t="s">
        <v>96</v>
      </c>
      <c r="D249" s="3" t="s">
        <v>110</v>
      </c>
      <c r="E249" s="3">
        <v>34</v>
      </c>
      <c r="F249" s="3">
        <v>32</v>
      </c>
      <c r="G249" s="3">
        <v>90</v>
      </c>
      <c r="H249" s="3">
        <v>50</v>
      </c>
      <c r="I249" s="4">
        <v>2880</v>
      </c>
      <c r="J249" s="4">
        <v>1600</v>
      </c>
      <c r="K249" s="4">
        <v>1280</v>
      </c>
    </row>
    <row r="250" spans="1:11">
      <c r="A250" s="2" t="s">
        <v>294</v>
      </c>
      <c r="B250" s="3" t="s">
        <v>103</v>
      </c>
      <c r="C250" s="3" t="s">
        <v>95</v>
      </c>
      <c r="D250" s="3" t="s">
        <v>110</v>
      </c>
      <c r="E250" s="3">
        <v>34</v>
      </c>
      <c r="F250" s="3">
        <v>41</v>
      </c>
      <c r="G250" s="3">
        <v>110</v>
      </c>
      <c r="H250" s="3">
        <v>60</v>
      </c>
      <c r="I250" s="4">
        <v>4510</v>
      </c>
      <c r="J250" s="4">
        <v>2460</v>
      </c>
      <c r="K250" s="4">
        <v>2050</v>
      </c>
    </row>
    <row r="251" spans="1:11">
      <c r="A251" s="2" t="s">
        <v>312</v>
      </c>
      <c r="B251" s="3" t="s">
        <v>103</v>
      </c>
      <c r="C251" s="3" t="s">
        <v>96</v>
      </c>
      <c r="D251" s="3" t="s">
        <v>110</v>
      </c>
      <c r="E251" s="3">
        <v>33</v>
      </c>
      <c r="F251" s="3">
        <v>74</v>
      </c>
      <c r="G251" s="3">
        <v>90</v>
      </c>
      <c r="H251" s="3">
        <v>50</v>
      </c>
      <c r="I251" s="4">
        <v>6660</v>
      </c>
      <c r="J251" s="4">
        <v>3700</v>
      </c>
      <c r="K251" s="4">
        <v>2960</v>
      </c>
    </row>
    <row r="252" spans="1:11">
      <c r="A252" s="2" t="s">
        <v>313</v>
      </c>
      <c r="B252" s="3" t="s">
        <v>105</v>
      </c>
      <c r="C252" s="3" t="s">
        <v>95</v>
      </c>
      <c r="D252" s="3" t="s">
        <v>110</v>
      </c>
      <c r="E252" s="3">
        <v>27</v>
      </c>
      <c r="F252" s="3">
        <v>99</v>
      </c>
      <c r="G252" s="3">
        <v>110</v>
      </c>
      <c r="H252" s="3">
        <v>60</v>
      </c>
      <c r="I252" s="4">
        <v>10890</v>
      </c>
      <c r="J252" s="4">
        <v>5940</v>
      </c>
      <c r="K252" s="4">
        <v>4950</v>
      </c>
    </row>
    <row r="253" spans="1:11">
      <c r="A253" s="2" t="s">
        <v>314</v>
      </c>
      <c r="B253" s="3" t="s">
        <v>106</v>
      </c>
      <c r="C253" s="3" t="s">
        <v>94</v>
      </c>
      <c r="D253" s="3" t="s">
        <v>112</v>
      </c>
      <c r="E253" s="3">
        <v>28</v>
      </c>
      <c r="F253" s="3">
        <v>32</v>
      </c>
      <c r="G253" s="3">
        <v>80</v>
      </c>
      <c r="H253" s="3">
        <v>45</v>
      </c>
      <c r="I253" s="4">
        <v>2560</v>
      </c>
      <c r="J253" s="4">
        <v>1440</v>
      </c>
      <c r="K253" s="4">
        <v>1120</v>
      </c>
    </row>
    <row r="254" spans="1:11">
      <c r="A254" s="2" t="s">
        <v>315</v>
      </c>
      <c r="B254" s="3" t="s">
        <v>104</v>
      </c>
      <c r="C254" s="3" t="s">
        <v>94</v>
      </c>
      <c r="D254" s="3" t="s">
        <v>110</v>
      </c>
      <c r="E254" s="3">
        <v>26</v>
      </c>
      <c r="F254" s="3">
        <v>36</v>
      </c>
      <c r="G254" s="3">
        <v>80</v>
      </c>
      <c r="H254" s="3">
        <v>45</v>
      </c>
      <c r="I254" s="4">
        <v>2880</v>
      </c>
      <c r="J254" s="4">
        <v>1620</v>
      </c>
      <c r="K254" s="4">
        <v>1260</v>
      </c>
    </row>
    <row r="255" spans="1:11">
      <c r="A255" s="2" t="s">
        <v>316</v>
      </c>
      <c r="B255" s="3" t="s">
        <v>104</v>
      </c>
      <c r="C255" s="3" t="s">
        <v>97</v>
      </c>
      <c r="D255" s="3" t="s">
        <v>111</v>
      </c>
      <c r="E255" s="3">
        <v>21</v>
      </c>
      <c r="F255" s="3">
        <v>46</v>
      </c>
      <c r="G255" s="3">
        <v>130</v>
      </c>
      <c r="H255" s="3">
        <v>70</v>
      </c>
      <c r="I255" s="4">
        <v>5980</v>
      </c>
      <c r="J255" s="4">
        <v>3220</v>
      </c>
      <c r="K255" s="4">
        <v>2760</v>
      </c>
    </row>
    <row r="256" spans="1:11">
      <c r="A256" s="2" t="s">
        <v>161</v>
      </c>
      <c r="B256" s="3" t="s">
        <v>106</v>
      </c>
      <c r="C256" s="3" t="s">
        <v>93</v>
      </c>
      <c r="D256" s="3" t="s">
        <v>110</v>
      </c>
      <c r="E256" s="3">
        <v>28</v>
      </c>
      <c r="F256" s="3">
        <v>78</v>
      </c>
      <c r="G256" s="3">
        <v>100</v>
      </c>
      <c r="H256" s="3">
        <v>55</v>
      </c>
      <c r="I256" s="4">
        <v>7800</v>
      </c>
      <c r="J256" s="4">
        <v>4290</v>
      </c>
      <c r="K256" s="4">
        <v>3510</v>
      </c>
    </row>
    <row r="257" spans="1:11">
      <c r="A257" s="2" t="s">
        <v>192</v>
      </c>
      <c r="B257" s="3" t="s">
        <v>103</v>
      </c>
      <c r="C257" s="3" t="s">
        <v>96</v>
      </c>
      <c r="D257" s="3" t="s">
        <v>110</v>
      </c>
      <c r="E257" s="3">
        <v>33</v>
      </c>
      <c r="F257" s="3">
        <v>115</v>
      </c>
      <c r="G257" s="3">
        <v>90</v>
      </c>
      <c r="H257" s="3">
        <v>50</v>
      </c>
      <c r="I257" s="4">
        <v>10350</v>
      </c>
      <c r="J257" s="4">
        <v>5750</v>
      </c>
      <c r="K257" s="4">
        <v>4600</v>
      </c>
    </row>
    <row r="258" spans="1:11">
      <c r="A258" s="2" t="s">
        <v>292</v>
      </c>
      <c r="B258" s="3" t="s">
        <v>106</v>
      </c>
      <c r="C258" s="3" t="s">
        <v>95</v>
      </c>
      <c r="D258" s="3" t="s">
        <v>110</v>
      </c>
      <c r="E258" s="3">
        <v>28</v>
      </c>
      <c r="F258" s="3">
        <v>41</v>
      </c>
      <c r="G258" s="3">
        <v>110</v>
      </c>
      <c r="H258" s="3">
        <v>60</v>
      </c>
      <c r="I258" s="4">
        <v>4510</v>
      </c>
      <c r="J258" s="4">
        <v>2460</v>
      </c>
      <c r="K258" s="4">
        <v>2050</v>
      </c>
    </row>
    <row r="259" spans="1:11">
      <c r="A259" s="2" t="s">
        <v>317</v>
      </c>
      <c r="B259" s="3" t="s">
        <v>106</v>
      </c>
      <c r="C259" s="3" t="s">
        <v>93</v>
      </c>
      <c r="D259" s="3" t="s">
        <v>110</v>
      </c>
      <c r="E259" s="3">
        <v>33</v>
      </c>
      <c r="F259" s="3">
        <v>55</v>
      </c>
      <c r="G259" s="3">
        <v>100</v>
      </c>
      <c r="H259" s="3">
        <v>55</v>
      </c>
      <c r="I259" s="4">
        <v>5500</v>
      </c>
      <c r="J259" s="4">
        <v>3025</v>
      </c>
      <c r="K259" s="4">
        <v>2475</v>
      </c>
    </row>
    <row r="260" spans="1:11">
      <c r="A260" s="2" t="s">
        <v>318</v>
      </c>
      <c r="B260" s="3" t="s">
        <v>103</v>
      </c>
      <c r="C260" s="3" t="s">
        <v>97</v>
      </c>
      <c r="D260" s="3" t="s">
        <v>110</v>
      </c>
      <c r="E260" s="3">
        <v>33</v>
      </c>
      <c r="F260" s="3">
        <v>127</v>
      </c>
      <c r="G260" s="3">
        <v>130</v>
      </c>
      <c r="H260" s="3">
        <v>70</v>
      </c>
      <c r="I260" s="4">
        <v>16510</v>
      </c>
      <c r="J260" s="4">
        <v>8890</v>
      </c>
      <c r="K260" s="4">
        <v>7620</v>
      </c>
    </row>
    <row r="261" spans="1:11">
      <c r="A261" s="2" t="s">
        <v>149</v>
      </c>
      <c r="B261" s="3" t="s">
        <v>104</v>
      </c>
      <c r="C261" s="3" t="s">
        <v>98</v>
      </c>
      <c r="D261" s="3" t="s">
        <v>110</v>
      </c>
      <c r="E261" s="3">
        <v>33</v>
      </c>
      <c r="F261" s="3">
        <v>89</v>
      </c>
      <c r="G261" s="3">
        <v>100</v>
      </c>
      <c r="H261" s="3">
        <v>55</v>
      </c>
      <c r="I261" s="4">
        <v>8900</v>
      </c>
      <c r="J261" s="4">
        <v>4895</v>
      </c>
      <c r="K261" s="4">
        <v>4005</v>
      </c>
    </row>
    <row r="262" spans="1:11">
      <c r="A262" s="2" t="s">
        <v>153</v>
      </c>
      <c r="B262" s="3" t="s">
        <v>104</v>
      </c>
      <c r="C262" s="3" t="s">
        <v>93</v>
      </c>
      <c r="D262" s="3" t="s">
        <v>110</v>
      </c>
      <c r="E262" s="3">
        <v>27</v>
      </c>
      <c r="F262" s="3">
        <v>57</v>
      </c>
      <c r="G262" s="3">
        <v>100</v>
      </c>
      <c r="H262" s="3">
        <v>55</v>
      </c>
      <c r="I262" s="4">
        <v>5700</v>
      </c>
      <c r="J262" s="4">
        <v>3135</v>
      </c>
      <c r="K262" s="4">
        <v>2565</v>
      </c>
    </row>
    <row r="263" spans="1:11">
      <c r="A263" s="2" t="s">
        <v>319</v>
      </c>
      <c r="B263" s="3" t="s">
        <v>103</v>
      </c>
      <c r="C263" s="3" t="s">
        <v>95</v>
      </c>
      <c r="D263" s="3" t="s">
        <v>111</v>
      </c>
      <c r="E263" s="3">
        <v>38</v>
      </c>
      <c r="F263" s="3">
        <v>94</v>
      </c>
      <c r="G263" s="3">
        <v>110</v>
      </c>
      <c r="H263" s="3">
        <v>60</v>
      </c>
      <c r="I263" s="4">
        <v>10340</v>
      </c>
      <c r="J263" s="4">
        <v>5640</v>
      </c>
      <c r="K263" s="4">
        <v>4700</v>
      </c>
    </row>
    <row r="264" spans="1:11">
      <c r="A264" s="2" t="s">
        <v>320</v>
      </c>
      <c r="B264" s="3" t="s">
        <v>106</v>
      </c>
      <c r="C264" s="3" t="s">
        <v>94</v>
      </c>
      <c r="D264" s="3" t="s">
        <v>110</v>
      </c>
      <c r="E264" s="3">
        <v>34</v>
      </c>
      <c r="F264" s="3">
        <v>109</v>
      </c>
      <c r="G264" s="3">
        <v>80</v>
      </c>
      <c r="H264" s="3">
        <v>45</v>
      </c>
      <c r="I264" s="4">
        <v>8720</v>
      </c>
      <c r="J264" s="4">
        <v>4905</v>
      </c>
      <c r="K264" s="4">
        <v>3815</v>
      </c>
    </row>
    <row r="265" spans="1:11">
      <c r="A265" s="2" t="s">
        <v>321</v>
      </c>
      <c r="B265" s="3" t="s">
        <v>104</v>
      </c>
      <c r="C265" s="3" t="s">
        <v>93</v>
      </c>
      <c r="D265" s="3" t="s">
        <v>112</v>
      </c>
      <c r="E265" s="3">
        <v>31</v>
      </c>
      <c r="F265" s="3">
        <v>86</v>
      </c>
      <c r="G265" s="3">
        <v>100</v>
      </c>
      <c r="H265" s="3">
        <v>55</v>
      </c>
      <c r="I265" s="4">
        <v>8600</v>
      </c>
      <c r="J265" s="4">
        <v>4730</v>
      </c>
      <c r="K265" s="4">
        <v>3870</v>
      </c>
    </row>
    <row r="266" spans="1:11">
      <c r="A266" s="2" t="s">
        <v>322</v>
      </c>
      <c r="B266" s="3" t="s">
        <v>105</v>
      </c>
      <c r="C266" s="3" t="s">
        <v>94</v>
      </c>
      <c r="D266" s="3" t="s">
        <v>111</v>
      </c>
      <c r="E266" s="3">
        <v>26</v>
      </c>
      <c r="F266" s="3">
        <v>66</v>
      </c>
      <c r="G266" s="3">
        <v>80</v>
      </c>
      <c r="H266" s="3">
        <v>45</v>
      </c>
      <c r="I266" s="4">
        <v>5280</v>
      </c>
      <c r="J266" s="4">
        <v>2970</v>
      </c>
      <c r="K266" s="4">
        <v>2310</v>
      </c>
    </row>
    <row r="267" spans="1:11">
      <c r="A267" s="2" t="s">
        <v>323</v>
      </c>
      <c r="B267" s="3" t="s">
        <v>104</v>
      </c>
      <c r="C267" s="3" t="s">
        <v>98</v>
      </c>
      <c r="D267" s="3" t="s">
        <v>112</v>
      </c>
      <c r="E267" s="3">
        <v>35</v>
      </c>
      <c r="F267" s="3">
        <v>157</v>
      </c>
      <c r="G267" s="3">
        <v>100</v>
      </c>
      <c r="H267" s="3">
        <v>55</v>
      </c>
      <c r="I267" s="4">
        <v>15700</v>
      </c>
      <c r="J267" s="4">
        <v>8635</v>
      </c>
      <c r="K267" s="4">
        <v>7065</v>
      </c>
    </row>
    <row r="268" spans="1:11">
      <c r="A268" s="2" t="s">
        <v>242</v>
      </c>
      <c r="B268" s="3" t="s">
        <v>104</v>
      </c>
      <c r="C268" s="3" t="s">
        <v>94</v>
      </c>
      <c r="D268" s="3" t="s">
        <v>112</v>
      </c>
      <c r="E268" s="3">
        <v>18</v>
      </c>
      <c r="F268" s="3">
        <v>38</v>
      </c>
      <c r="G268" s="3">
        <v>80</v>
      </c>
      <c r="H268" s="3">
        <v>45</v>
      </c>
      <c r="I268" s="4">
        <v>3040</v>
      </c>
      <c r="J268" s="4">
        <v>1710</v>
      </c>
      <c r="K268" s="4">
        <v>1330</v>
      </c>
    </row>
    <row r="269" spans="1:11">
      <c r="A269" s="2" t="s">
        <v>324</v>
      </c>
      <c r="B269" s="3" t="s">
        <v>103</v>
      </c>
      <c r="C269" s="3" t="s">
        <v>94</v>
      </c>
      <c r="D269" s="3" t="s">
        <v>110</v>
      </c>
      <c r="E269" s="3">
        <v>41</v>
      </c>
      <c r="F269" s="3">
        <v>61</v>
      </c>
      <c r="G269" s="3">
        <v>80</v>
      </c>
      <c r="H269" s="3">
        <v>45</v>
      </c>
      <c r="I269" s="4">
        <v>4880</v>
      </c>
      <c r="J269" s="4">
        <v>2745</v>
      </c>
      <c r="K269" s="4">
        <v>2135</v>
      </c>
    </row>
    <row r="270" spans="1:11">
      <c r="A270" s="2" t="s">
        <v>325</v>
      </c>
      <c r="B270" s="3" t="s">
        <v>106</v>
      </c>
      <c r="C270" s="3" t="s">
        <v>97</v>
      </c>
      <c r="D270" s="3" t="s">
        <v>110</v>
      </c>
      <c r="E270" s="3">
        <v>34</v>
      </c>
      <c r="F270" s="3">
        <v>79</v>
      </c>
      <c r="G270" s="3">
        <v>130</v>
      </c>
      <c r="H270" s="3">
        <v>70</v>
      </c>
      <c r="I270" s="4">
        <v>10270</v>
      </c>
      <c r="J270" s="4">
        <v>5530</v>
      </c>
      <c r="K270" s="4">
        <v>4740</v>
      </c>
    </row>
    <row r="271" spans="1:11">
      <c r="A271" s="2" t="s">
        <v>281</v>
      </c>
      <c r="B271" s="3" t="s">
        <v>104</v>
      </c>
      <c r="C271" s="3" t="s">
        <v>93</v>
      </c>
      <c r="D271" s="3" t="s">
        <v>110</v>
      </c>
      <c r="E271" s="3">
        <v>31</v>
      </c>
      <c r="F271" s="3">
        <v>73</v>
      </c>
      <c r="G271" s="3">
        <v>100</v>
      </c>
      <c r="H271" s="3">
        <v>55</v>
      </c>
      <c r="I271" s="4">
        <v>7300</v>
      </c>
      <c r="J271" s="4">
        <v>4015</v>
      </c>
      <c r="K271" s="4">
        <v>3285</v>
      </c>
    </row>
    <row r="272" spans="1:11">
      <c r="A272" s="2" t="s">
        <v>228</v>
      </c>
      <c r="B272" s="3" t="s">
        <v>103</v>
      </c>
      <c r="C272" s="3" t="s">
        <v>94</v>
      </c>
      <c r="D272" s="3" t="s">
        <v>110</v>
      </c>
      <c r="E272" s="3">
        <v>27</v>
      </c>
      <c r="F272" s="3">
        <v>59</v>
      </c>
      <c r="G272" s="3">
        <v>80</v>
      </c>
      <c r="H272" s="3">
        <v>45</v>
      </c>
      <c r="I272" s="4">
        <v>4720</v>
      </c>
      <c r="J272" s="4">
        <v>2655</v>
      </c>
      <c r="K272" s="4">
        <v>2065</v>
      </c>
    </row>
    <row r="273" spans="1:11">
      <c r="A273" s="2" t="s">
        <v>304</v>
      </c>
      <c r="B273" s="3" t="s">
        <v>103</v>
      </c>
      <c r="C273" s="3" t="s">
        <v>97</v>
      </c>
      <c r="D273" s="3" t="s">
        <v>111</v>
      </c>
      <c r="E273" s="3">
        <v>23</v>
      </c>
      <c r="F273" s="3">
        <v>41</v>
      </c>
      <c r="G273" s="3">
        <v>130</v>
      </c>
      <c r="H273" s="3">
        <v>70</v>
      </c>
      <c r="I273" s="4">
        <v>5330</v>
      </c>
      <c r="J273" s="4">
        <v>2870</v>
      </c>
      <c r="K273" s="4">
        <v>2460</v>
      </c>
    </row>
    <row r="274" spans="1:11">
      <c r="A274" s="2" t="s">
        <v>326</v>
      </c>
      <c r="B274" s="3" t="s">
        <v>103</v>
      </c>
      <c r="C274" s="3" t="s">
        <v>97</v>
      </c>
      <c r="D274" s="3" t="s">
        <v>111</v>
      </c>
      <c r="E274" s="3">
        <v>27</v>
      </c>
      <c r="F274" s="3">
        <v>35</v>
      </c>
      <c r="G274" s="3">
        <v>130</v>
      </c>
      <c r="H274" s="3">
        <v>70</v>
      </c>
      <c r="I274" s="4">
        <v>4550</v>
      </c>
      <c r="J274" s="4">
        <v>2450</v>
      </c>
      <c r="K274" s="4">
        <v>2100</v>
      </c>
    </row>
    <row r="275" spans="1:11">
      <c r="A275" s="2" t="s">
        <v>181</v>
      </c>
      <c r="B275" s="3" t="s">
        <v>106</v>
      </c>
      <c r="C275" s="3" t="s">
        <v>94</v>
      </c>
      <c r="D275" s="3" t="s">
        <v>112</v>
      </c>
      <c r="E275" s="3">
        <v>39</v>
      </c>
      <c r="F275" s="3">
        <v>162</v>
      </c>
      <c r="G275" s="3">
        <v>80</v>
      </c>
      <c r="H275" s="3">
        <v>45</v>
      </c>
      <c r="I275" s="4">
        <v>12960</v>
      </c>
      <c r="J275" s="4">
        <v>7290</v>
      </c>
      <c r="K275" s="4">
        <v>5670</v>
      </c>
    </row>
    <row r="276" spans="1:11">
      <c r="A276" s="2" t="s">
        <v>146</v>
      </c>
      <c r="B276" s="3" t="s">
        <v>105</v>
      </c>
      <c r="C276" s="3" t="s">
        <v>95</v>
      </c>
      <c r="D276" s="3" t="s">
        <v>110</v>
      </c>
      <c r="E276" s="3">
        <v>22</v>
      </c>
      <c r="F276" s="3">
        <v>25</v>
      </c>
      <c r="G276" s="3">
        <v>110</v>
      </c>
      <c r="H276" s="3">
        <v>60</v>
      </c>
      <c r="I276" s="4">
        <v>2750</v>
      </c>
      <c r="J276" s="4">
        <v>1500</v>
      </c>
      <c r="K276" s="4">
        <v>1250</v>
      </c>
    </row>
    <row r="277" spans="1:11">
      <c r="A277" s="2" t="s">
        <v>327</v>
      </c>
      <c r="B277" s="3" t="s">
        <v>103</v>
      </c>
      <c r="C277" s="3" t="s">
        <v>95</v>
      </c>
      <c r="D277" s="3" t="s">
        <v>111</v>
      </c>
      <c r="E277" s="3">
        <v>31</v>
      </c>
      <c r="F277" s="3">
        <v>93</v>
      </c>
      <c r="G277" s="3">
        <v>110</v>
      </c>
      <c r="H277" s="3">
        <v>60</v>
      </c>
      <c r="I277" s="4">
        <v>10230</v>
      </c>
      <c r="J277" s="4">
        <v>5580</v>
      </c>
      <c r="K277" s="4">
        <v>4650</v>
      </c>
    </row>
    <row r="278" spans="1:11">
      <c r="A278" s="2" t="s">
        <v>152</v>
      </c>
      <c r="B278" s="3" t="s">
        <v>104</v>
      </c>
      <c r="C278" s="3" t="s">
        <v>97</v>
      </c>
      <c r="D278" s="3" t="s">
        <v>112</v>
      </c>
      <c r="E278" s="3">
        <v>36</v>
      </c>
      <c r="F278" s="3">
        <v>122</v>
      </c>
      <c r="G278" s="3">
        <v>130</v>
      </c>
      <c r="H278" s="3">
        <v>70</v>
      </c>
      <c r="I278" s="4">
        <v>15860</v>
      </c>
      <c r="J278" s="4">
        <v>8540</v>
      </c>
      <c r="K278" s="4">
        <v>7320</v>
      </c>
    </row>
    <row r="279" spans="1:11">
      <c r="A279" s="2" t="s">
        <v>328</v>
      </c>
      <c r="B279" s="3" t="s">
        <v>103</v>
      </c>
      <c r="C279" s="3" t="s">
        <v>93</v>
      </c>
      <c r="D279" s="3" t="s">
        <v>111</v>
      </c>
      <c r="E279" s="3">
        <v>35</v>
      </c>
      <c r="F279" s="3">
        <v>151</v>
      </c>
      <c r="G279" s="3">
        <v>100</v>
      </c>
      <c r="H279" s="3">
        <v>55</v>
      </c>
      <c r="I279" s="4">
        <v>15100</v>
      </c>
      <c r="J279" s="4">
        <v>8305</v>
      </c>
      <c r="K279" s="4">
        <v>6795</v>
      </c>
    </row>
    <row r="280" spans="1:11">
      <c r="A280" s="2" t="s">
        <v>274</v>
      </c>
      <c r="B280" s="3" t="s">
        <v>106</v>
      </c>
      <c r="C280" s="3" t="s">
        <v>93</v>
      </c>
      <c r="D280" s="3" t="s">
        <v>112</v>
      </c>
      <c r="E280" s="3">
        <v>34</v>
      </c>
      <c r="F280" s="3">
        <v>72</v>
      </c>
      <c r="G280" s="3">
        <v>100</v>
      </c>
      <c r="H280" s="3">
        <v>55</v>
      </c>
      <c r="I280" s="4">
        <v>7200</v>
      </c>
      <c r="J280" s="4">
        <v>3960</v>
      </c>
      <c r="K280" s="4">
        <v>3240</v>
      </c>
    </row>
    <row r="281" spans="1:11">
      <c r="A281" s="2" t="s">
        <v>188</v>
      </c>
      <c r="B281" s="3" t="s">
        <v>103</v>
      </c>
      <c r="C281" s="3" t="s">
        <v>98</v>
      </c>
      <c r="D281" s="3" t="s">
        <v>111</v>
      </c>
      <c r="E281" s="3">
        <v>22</v>
      </c>
      <c r="F281" s="3">
        <v>34</v>
      </c>
      <c r="G281" s="3">
        <v>100</v>
      </c>
      <c r="H281" s="3">
        <v>55</v>
      </c>
      <c r="I281" s="4">
        <v>3400</v>
      </c>
      <c r="J281" s="4">
        <v>1870</v>
      </c>
      <c r="K281" s="4">
        <v>1530</v>
      </c>
    </row>
    <row r="282" spans="1:11">
      <c r="A282" s="2" t="s">
        <v>185</v>
      </c>
      <c r="B282" s="3" t="s">
        <v>105</v>
      </c>
      <c r="C282" s="3" t="s">
        <v>96</v>
      </c>
      <c r="D282" s="3" t="s">
        <v>111</v>
      </c>
      <c r="E282" s="3">
        <v>40</v>
      </c>
      <c r="F282" s="3">
        <v>196</v>
      </c>
      <c r="G282" s="3">
        <v>90</v>
      </c>
      <c r="H282" s="3">
        <v>50</v>
      </c>
      <c r="I282" s="4">
        <v>17640</v>
      </c>
      <c r="J282" s="4">
        <v>9800</v>
      </c>
      <c r="K282" s="4">
        <v>7840</v>
      </c>
    </row>
    <row r="283" spans="1:11">
      <c r="A283" s="2" t="s">
        <v>187</v>
      </c>
      <c r="B283" s="3" t="s">
        <v>104</v>
      </c>
      <c r="C283" s="3" t="s">
        <v>96</v>
      </c>
      <c r="D283" s="3" t="s">
        <v>110</v>
      </c>
      <c r="E283" s="3">
        <v>28</v>
      </c>
      <c r="F283" s="3">
        <v>40</v>
      </c>
      <c r="G283" s="3">
        <v>90</v>
      </c>
      <c r="H283" s="3">
        <v>50</v>
      </c>
      <c r="I283" s="4">
        <v>3600</v>
      </c>
      <c r="J283" s="4">
        <v>2000</v>
      </c>
      <c r="K283" s="4">
        <v>1600</v>
      </c>
    </row>
    <row r="284" spans="1:11">
      <c r="A284" s="2" t="s">
        <v>329</v>
      </c>
      <c r="B284" s="3" t="s">
        <v>105</v>
      </c>
      <c r="C284" s="3" t="s">
        <v>96</v>
      </c>
      <c r="D284" s="3" t="s">
        <v>111</v>
      </c>
      <c r="E284" s="3">
        <v>41</v>
      </c>
      <c r="F284" s="3">
        <v>134</v>
      </c>
      <c r="G284" s="3">
        <v>90</v>
      </c>
      <c r="H284" s="3">
        <v>50</v>
      </c>
      <c r="I284" s="4">
        <v>12060</v>
      </c>
      <c r="J284" s="4">
        <v>6700</v>
      </c>
      <c r="K284" s="4">
        <v>5360</v>
      </c>
    </row>
    <row r="285" spans="1:11">
      <c r="A285" s="2" t="s">
        <v>310</v>
      </c>
      <c r="B285" s="3" t="s">
        <v>104</v>
      </c>
      <c r="C285" s="3" t="s">
        <v>96</v>
      </c>
      <c r="D285" s="3" t="s">
        <v>110</v>
      </c>
      <c r="E285" s="3">
        <v>26</v>
      </c>
      <c r="F285" s="3">
        <v>35</v>
      </c>
      <c r="G285" s="3">
        <v>90</v>
      </c>
      <c r="H285" s="3">
        <v>50</v>
      </c>
      <c r="I285" s="4">
        <v>3150</v>
      </c>
      <c r="J285" s="4">
        <v>1750</v>
      </c>
      <c r="K285" s="4">
        <v>1400</v>
      </c>
    </row>
    <row r="286" spans="1:11">
      <c r="A286" s="2" t="s">
        <v>299</v>
      </c>
      <c r="B286" s="3" t="s">
        <v>104</v>
      </c>
      <c r="C286" s="3" t="s">
        <v>94</v>
      </c>
      <c r="D286" s="3" t="s">
        <v>110</v>
      </c>
      <c r="E286" s="3">
        <v>24</v>
      </c>
      <c r="F286" s="3">
        <v>45</v>
      </c>
      <c r="G286" s="3">
        <v>80</v>
      </c>
      <c r="H286" s="3">
        <v>45</v>
      </c>
      <c r="I286" s="4">
        <v>3600</v>
      </c>
      <c r="J286" s="4">
        <v>2025</v>
      </c>
      <c r="K286" s="4">
        <v>1575</v>
      </c>
    </row>
    <row r="287" spans="1:11">
      <c r="A287" s="2" t="s">
        <v>330</v>
      </c>
      <c r="B287" s="3" t="s">
        <v>105</v>
      </c>
      <c r="C287" s="3" t="s">
        <v>95</v>
      </c>
      <c r="D287" s="3" t="s">
        <v>111</v>
      </c>
      <c r="E287" s="3">
        <v>24</v>
      </c>
      <c r="F287" s="3">
        <v>30</v>
      </c>
      <c r="G287" s="3">
        <v>110</v>
      </c>
      <c r="H287" s="3">
        <v>60</v>
      </c>
      <c r="I287" s="4">
        <v>3300</v>
      </c>
      <c r="J287" s="4">
        <v>1800</v>
      </c>
      <c r="K287" s="4">
        <v>1500</v>
      </c>
    </row>
    <row r="288" spans="1:11">
      <c r="A288" s="2" t="s">
        <v>331</v>
      </c>
      <c r="B288" s="3" t="s">
        <v>105</v>
      </c>
      <c r="C288" s="3" t="s">
        <v>94</v>
      </c>
      <c r="D288" s="3" t="s">
        <v>112</v>
      </c>
      <c r="E288" s="3">
        <v>35</v>
      </c>
      <c r="F288" s="3">
        <v>74</v>
      </c>
      <c r="G288" s="3">
        <v>80</v>
      </c>
      <c r="H288" s="3">
        <v>45</v>
      </c>
      <c r="I288" s="4">
        <v>5920</v>
      </c>
      <c r="J288" s="4">
        <v>3330</v>
      </c>
      <c r="K288" s="4">
        <v>2590</v>
      </c>
    </row>
    <row r="289" spans="1:11">
      <c r="A289" s="2" t="s">
        <v>163</v>
      </c>
      <c r="B289" s="3" t="s">
        <v>103</v>
      </c>
      <c r="C289" s="3" t="s">
        <v>93</v>
      </c>
      <c r="D289" s="3" t="s">
        <v>110</v>
      </c>
      <c r="E289" s="3">
        <v>27</v>
      </c>
      <c r="F289" s="3">
        <v>48</v>
      </c>
      <c r="G289" s="3">
        <v>100</v>
      </c>
      <c r="H289" s="3">
        <v>55</v>
      </c>
      <c r="I289" s="4">
        <v>4800</v>
      </c>
      <c r="J289" s="4">
        <v>2640</v>
      </c>
      <c r="K289" s="4">
        <v>2160</v>
      </c>
    </row>
    <row r="290" spans="1:11">
      <c r="A290" s="2" t="s">
        <v>242</v>
      </c>
      <c r="B290" s="3" t="s">
        <v>103</v>
      </c>
      <c r="C290" s="3" t="s">
        <v>93</v>
      </c>
      <c r="D290" s="3" t="s">
        <v>110</v>
      </c>
      <c r="E290" s="3">
        <v>20</v>
      </c>
      <c r="F290" s="3">
        <v>36</v>
      </c>
      <c r="G290" s="3">
        <v>100</v>
      </c>
      <c r="H290" s="3">
        <v>55</v>
      </c>
      <c r="I290" s="4">
        <v>3600</v>
      </c>
      <c r="J290" s="4">
        <v>1980</v>
      </c>
      <c r="K290" s="4">
        <v>1620</v>
      </c>
    </row>
    <row r="291" spans="1:11">
      <c r="A291" s="2" t="s">
        <v>332</v>
      </c>
      <c r="B291" s="3" t="s">
        <v>105</v>
      </c>
      <c r="C291" s="3" t="s">
        <v>93</v>
      </c>
      <c r="D291" s="3" t="s">
        <v>111</v>
      </c>
      <c r="E291" s="3">
        <v>35</v>
      </c>
      <c r="F291" s="3">
        <v>126</v>
      </c>
      <c r="G291" s="3">
        <v>100</v>
      </c>
      <c r="H291" s="3">
        <v>55</v>
      </c>
      <c r="I291" s="4">
        <v>12600</v>
      </c>
      <c r="J291" s="4">
        <v>6930</v>
      </c>
      <c r="K291" s="4">
        <v>5670</v>
      </c>
    </row>
    <row r="292" spans="1:11">
      <c r="A292" s="2" t="s">
        <v>216</v>
      </c>
      <c r="B292" s="3" t="s">
        <v>103</v>
      </c>
      <c r="C292" s="3" t="s">
        <v>94</v>
      </c>
      <c r="D292" s="3" t="s">
        <v>111</v>
      </c>
      <c r="E292" s="3">
        <v>38</v>
      </c>
      <c r="F292" s="3">
        <v>123</v>
      </c>
      <c r="G292" s="3">
        <v>80</v>
      </c>
      <c r="H292" s="3">
        <v>45</v>
      </c>
      <c r="I292" s="4">
        <v>9840</v>
      </c>
      <c r="J292" s="4">
        <v>5535</v>
      </c>
      <c r="K292" s="4">
        <v>4305</v>
      </c>
    </row>
    <row r="293" spans="1:11">
      <c r="A293" s="2" t="s">
        <v>333</v>
      </c>
      <c r="B293" s="3" t="s">
        <v>103</v>
      </c>
      <c r="C293" s="3" t="s">
        <v>95</v>
      </c>
      <c r="D293" s="3" t="s">
        <v>111</v>
      </c>
      <c r="E293" s="3">
        <v>39</v>
      </c>
      <c r="F293" s="3">
        <v>91</v>
      </c>
      <c r="G293" s="3">
        <v>110</v>
      </c>
      <c r="H293" s="3">
        <v>60</v>
      </c>
      <c r="I293" s="4">
        <v>10010</v>
      </c>
      <c r="J293" s="4">
        <v>5460</v>
      </c>
      <c r="K293" s="4">
        <v>4550</v>
      </c>
    </row>
    <row r="294" spans="1:11">
      <c r="A294" s="2" t="s">
        <v>184</v>
      </c>
      <c r="B294" s="3" t="s">
        <v>103</v>
      </c>
      <c r="C294" s="3" t="s">
        <v>93</v>
      </c>
      <c r="D294" s="3" t="s">
        <v>111</v>
      </c>
      <c r="E294" s="3">
        <v>33</v>
      </c>
      <c r="F294" s="3">
        <v>73</v>
      </c>
      <c r="G294" s="3">
        <v>100</v>
      </c>
      <c r="H294" s="3">
        <v>55</v>
      </c>
      <c r="I294" s="4">
        <v>7300</v>
      </c>
      <c r="J294" s="4">
        <v>4015</v>
      </c>
      <c r="K294" s="4">
        <v>3285</v>
      </c>
    </row>
    <row r="295" spans="1:11">
      <c r="A295" s="2" t="s">
        <v>334</v>
      </c>
      <c r="B295" s="3" t="s">
        <v>106</v>
      </c>
      <c r="C295" s="3" t="s">
        <v>96</v>
      </c>
      <c r="D295" s="3" t="s">
        <v>111</v>
      </c>
      <c r="E295" s="3">
        <v>36</v>
      </c>
      <c r="F295" s="3">
        <v>167</v>
      </c>
      <c r="G295" s="3">
        <v>90</v>
      </c>
      <c r="H295" s="3">
        <v>50</v>
      </c>
      <c r="I295" s="4">
        <v>15030</v>
      </c>
      <c r="J295" s="4">
        <v>8350</v>
      </c>
      <c r="K295" s="4">
        <v>6680</v>
      </c>
    </row>
    <row r="296" spans="1:11">
      <c r="A296" s="2" t="s">
        <v>234</v>
      </c>
      <c r="B296" s="3" t="s">
        <v>105</v>
      </c>
      <c r="C296" s="3" t="s">
        <v>96</v>
      </c>
      <c r="D296" s="3" t="s">
        <v>111</v>
      </c>
      <c r="E296" s="3">
        <v>33</v>
      </c>
      <c r="F296" s="3">
        <v>71</v>
      </c>
      <c r="G296" s="3">
        <v>90</v>
      </c>
      <c r="H296" s="3">
        <v>50</v>
      </c>
      <c r="I296" s="4">
        <v>6390</v>
      </c>
      <c r="J296" s="4">
        <v>3550</v>
      </c>
      <c r="K296" s="4">
        <v>2840</v>
      </c>
    </row>
    <row r="297" spans="1:11">
      <c r="A297" s="2" t="s">
        <v>136</v>
      </c>
      <c r="B297" s="3" t="s">
        <v>103</v>
      </c>
      <c r="C297" s="3" t="s">
        <v>93</v>
      </c>
      <c r="D297" s="3" t="s">
        <v>111</v>
      </c>
      <c r="E297" s="3">
        <v>39</v>
      </c>
      <c r="F297" s="3">
        <v>99</v>
      </c>
      <c r="G297" s="3">
        <v>100</v>
      </c>
      <c r="H297" s="3">
        <v>55</v>
      </c>
      <c r="I297" s="4">
        <v>9900</v>
      </c>
      <c r="J297" s="4">
        <v>5445</v>
      </c>
      <c r="K297" s="4">
        <v>4455</v>
      </c>
    </row>
    <row r="298" spans="1:11">
      <c r="A298" s="2" t="s">
        <v>335</v>
      </c>
      <c r="B298" s="3" t="s">
        <v>105</v>
      </c>
      <c r="C298" s="3" t="s">
        <v>98</v>
      </c>
      <c r="D298" s="3" t="s">
        <v>111</v>
      </c>
      <c r="E298" s="3">
        <v>21</v>
      </c>
      <c r="F298" s="3">
        <v>28</v>
      </c>
      <c r="G298" s="3">
        <v>100</v>
      </c>
      <c r="H298" s="3">
        <v>55</v>
      </c>
      <c r="I298" s="4">
        <v>2800</v>
      </c>
      <c r="J298" s="4">
        <v>1540</v>
      </c>
      <c r="K298" s="4">
        <v>1260</v>
      </c>
    </row>
    <row r="299" spans="1:11">
      <c r="A299" s="2" t="s">
        <v>336</v>
      </c>
      <c r="B299" s="3" t="s">
        <v>103</v>
      </c>
      <c r="C299" s="3" t="s">
        <v>94</v>
      </c>
      <c r="D299" s="3" t="s">
        <v>112</v>
      </c>
      <c r="E299" s="3">
        <v>32</v>
      </c>
      <c r="F299" s="3">
        <v>62</v>
      </c>
      <c r="G299" s="3">
        <v>80</v>
      </c>
      <c r="H299" s="3">
        <v>45</v>
      </c>
      <c r="I299" s="4">
        <v>4960</v>
      </c>
      <c r="J299" s="4">
        <v>2790</v>
      </c>
      <c r="K299" s="4">
        <v>2170</v>
      </c>
    </row>
    <row r="300" spans="1:11">
      <c r="A300" s="2" t="s">
        <v>337</v>
      </c>
      <c r="B300" s="3" t="s">
        <v>103</v>
      </c>
      <c r="C300" s="3" t="s">
        <v>94</v>
      </c>
      <c r="D300" s="3" t="s">
        <v>111</v>
      </c>
      <c r="E300" s="3">
        <v>41</v>
      </c>
      <c r="F300" s="3">
        <v>60</v>
      </c>
      <c r="G300" s="3">
        <v>80</v>
      </c>
      <c r="H300" s="3">
        <v>45</v>
      </c>
      <c r="I300" s="4">
        <v>4800</v>
      </c>
      <c r="J300" s="4">
        <v>2700</v>
      </c>
      <c r="K300" s="4">
        <v>2100</v>
      </c>
    </row>
    <row r="301" spans="1:11">
      <c r="A301" s="2" t="s">
        <v>222</v>
      </c>
      <c r="B301" s="3" t="s">
        <v>103</v>
      </c>
      <c r="C301" s="3" t="s">
        <v>96</v>
      </c>
      <c r="D301" s="3" t="s">
        <v>110</v>
      </c>
      <c r="E301" s="3">
        <v>34</v>
      </c>
      <c r="F301" s="3">
        <v>113</v>
      </c>
      <c r="G301" s="3">
        <v>90</v>
      </c>
      <c r="H301" s="3">
        <v>50</v>
      </c>
      <c r="I301" s="4">
        <v>10170</v>
      </c>
      <c r="J301" s="4">
        <v>5650</v>
      </c>
      <c r="K301" s="4">
        <v>4520</v>
      </c>
    </row>
    <row r="302" spans="1:11">
      <c r="A302" s="2" t="s">
        <v>263</v>
      </c>
      <c r="B302" s="3" t="s">
        <v>104</v>
      </c>
      <c r="C302" s="3" t="s">
        <v>95</v>
      </c>
      <c r="D302" s="3" t="s">
        <v>110</v>
      </c>
      <c r="E302" s="3">
        <v>34</v>
      </c>
      <c r="F302" s="3">
        <v>68</v>
      </c>
      <c r="G302" s="3">
        <v>110</v>
      </c>
      <c r="H302" s="3">
        <v>60</v>
      </c>
      <c r="I302" s="4">
        <v>7480</v>
      </c>
      <c r="J302" s="4">
        <v>4080</v>
      </c>
      <c r="K302" s="4">
        <v>3400</v>
      </c>
    </row>
    <row r="303" spans="1:11">
      <c r="A303" s="2" t="s">
        <v>338</v>
      </c>
      <c r="B303" s="3" t="s">
        <v>103</v>
      </c>
      <c r="C303" s="3" t="s">
        <v>94</v>
      </c>
      <c r="D303" s="3" t="s">
        <v>111</v>
      </c>
      <c r="E303" s="3">
        <v>31</v>
      </c>
      <c r="F303" s="3">
        <v>97</v>
      </c>
      <c r="G303" s="3">
        <v>80</v>
      </c>
      <c r="H303" s="3">
        <v>45</v>
      </c>
      <c r="I303" s="4">
        <v>7760</v>
      </c>
      <c r="J303" s="4">
        <v>4365</v>
      </c>
      <c r="K303" s="4">
        <v>3395</v>
      </c>
    </row>
    <row r="304" spans="1:11">
      <c r="A304" s="2" t="s">
        <v>339</v>
      </c>
      <c r="B304" s="3" t="s">
        <v>105</v>
      </c>
      <c r="C304" s="3" t="s">
        <v>97</v>
      </c>
      <c r="D304" s="3" t="s">
        <v>110</v>
      </c>
      <c r="E304" s="3">
        <v>28</v>
      </c>
      <c r="F304" s="3">
        <v>65</v>
      </c>
      <c r="G304" s="3">
        <v>130</v>
      </c>
      <c r="H304" s="3">
        <v>70</v>
      </c>
      <c r="I304" s="4">
        <v>8450</v>
      </c>
      <c r="J304" s="4">
        <v>4550</v>
      </c>
      <c r="K304" s="4">
        <v>3900</v>
      </c>
    </row>
    <row r="305" spans="1:11">
      <c r="A305" s="2" t="s">
        <v>273</v>
      </c>
      <c r="B305" s="3" t="s">
        <v>103</v>
      </c>
      <c r="C305" s="3" t="s">
        <v>93</v>
      </c>
      <c r="D305" s="3" t="s">
        <v>110</v>
      </c>
      <c r="E305" s="3">
        <v>32</v>
      </c>
      <c r="F305" s="3">
        <v>62</v>
      </c>
      <c r="G305" s="3">
        <v>100</v>
      </c>
      <c r="H305" s="3">
        <v>55</v>
      </c>
      <c r="I305" s="4">
        <v>6200</v>
      </c>
      <c r="J305" s="4">
        <v>3410</v>
      </c>
      <c r="K305" s="4">
        <v>2790</v>
      </c>
    </row>
    <row r="306" spans="1:11">
      <c r="A306" s="2" t="s">
        <v>340</v>
      </c>
      <c r="B306" s="3" t="s">
        <v>106</v>
      </c>
      <c r="C306" s="3" t="s">
        <v>94</v>
      </c>
      <c r="D306" s="3" t="s">
        <v>110</v>
      </c>
      <c r="E306" s="3">
        <v>25</v>
      </c>
      <c r="F306" s="3">
        <v>30</v>
      </c>
      <c r="G306" s="3">
        <v>80</v>
      </c>
      <c r="H306" s="3">
        <v>45</v>
      </c>
      <c r="I306" s="4">
        <v>2400</v>
      </c>
      <c r="J306" s="4">
        <v>1350</v>
      </c>
      <c r="K306" s="4">
        <v>1050</v>
      </c>
    </row>
    <row r="307" spans="1:11">
      <c r="A307" s="2" t="s">
        <v>341</v>
      </c>
      <c r="B307" s="3" t="s">
        <v>105</v>
      </c>
      <c r="C307" s="3" t="s">
        <v>96</v>
      </c>
      <c r="D307" s="3" t="s">
        <v>110</v>
      </c>
      <c r="E307" s="3">
        <v>28</v>
      </c>
      <c r="F307" s="3">
        <v>87</v>
      </c>
      <c r="G307" s="3">
        <v>90</v>
      </c>
      <c r="H307" s="3">
        <v>50</v>
      </c>
      <c r="I307" s="4">
        <v>7830</v>
      </c>
      <c r="J307" s="4">
        <v>4350</v>
      </c>
      <c r="K307" s="4">
        <v>3480</v>
      </c>
    </row>
    <row r="308" spans="1:11">
      <c r="A308" s="2" t="s">
        <v>204</v>
      </c>
      <c r="B308" s="3" t="s">
        <v>106</v>
      </c>
      <c r="C308" s="3" t="s">
        <v>95</v>
      </c>
      <c r="D308" s="3" t="s">
        <v>111</v>
      </c>
      <c r="E308" s="3">
        <v>20</v>
      </c>
      <c r="F308" s="3">
        <v>26</v>
      </c>
      <c r="G308" s="3">
        <v>110</v>
      </c>
      <c r="H308" s="3">
        <v>60</v>
      </c>
      <c r="I308" s="4">
        <v>2860</v>
      </c>
      <c r="J308" s="4">
        <v>1560</v>
      </c>
      <c r="K308" s="4">
        <v>1300</v>
      </c>
    </row>
    <row r="309" spans="1:11">
      <c r="A309" s="2" t="s">
        <v>342</v>
      </c>
      <c r="B309" s="3" t="s">
        <v>103</v>
      </c>
      <c r="C309" s="3" t="s">
        <v>93</v>
      </c>
      <c r="D309" s="3" t="s">
        <v>111</v>
      </c>
      <c r="E309" s="3">
        <v>22</v>
      </c>
      <c r="F309" s="3">
        <v>45</v>
      </c>
      <c r="G309" s="3">
        <v>100</v>
      </c>
      <c r="H309" s="3">
        <v>55</v>
      </c>
      <c r="I309" s="4">
        <v>4500</v>
      </c>
      <c r="J309" s="4">
        <v>2475</v>
      </c>
      <c r="K309" s="4">
        <v>2025</v>
      </c>
    </row>
    <row r="310" spans="1:11">
      <c r="A310" s="2" t="s">
        <v>343</v>
      </c>
      <c r="B310" s="3" t="s">
        <v>105</v>
      </c>
      <c r="C310" s="3" t="s">
        <v>96</v>
      </c>
      <c r="D310" s="3" t="s">
        <v>110</v>
      </c>
      <c r="E310" s="3">
        <v>26</v>
      </c>
      <c r="F310" s="3">
        <v>51</v>
      </c>
      <c r="G310" s="3">
        <v>90</v>
      </c>
      <c r="H310" s="3">
        <v>50</v>
      </c>
      <c r="I310" s="4">
        <v>4590</v>
      </c>
      <c r="J310" s="4">
        <v>2550</v>
      </c>
      <c r="K310" s="4">
        <v>2040</v>
      </c>
    </row>
    <row r="311" spans="1:11">
      <c r="A311" s="2" t="s">
        <v>344</v>
      </c>
      <c r="B311" s="3" t="s">
        <v>103</v>
      </c>
      <c r="C311" s="3" t="s">
        <v>95</v>
      </c>
      <c r="D311" s="3" t="s">
        <v>111</v>
      </c>
      <c r="E311" s="3">
        <v>32</v>
      </c>
      <c r="F311" s="3">
        <v>32</v>
      </c>
      <c r="G311" s="3">
        <v>110</v>
      </c>
      <c r="H311" s="3">
        <v>60</v>
      </c>
      <c r="I311" s="4">
        <v>3520</v>
      </c>
      <c r="J311" s="4">
        <v>1920</v>
      </c>
      <c r="K311" s="4">
        <v>1600</v>
      </c>
    </row>
    <row r="312" spans="1:11">
      <c r="A312" s="2" t="s">
        <v>156</v>
      </c>
      <c r="B312" s="3" t="s">
        <v>103</v>
      </c>
      <c r="C312" s="3" t="s">
        <v>97</v>
      </c>
      <c r="D312" s="3" t="s">
        <v>111</v>
      </c>
      <c r="E312" s="3">
        <v>18</v>
      </c>
      <c r="F312" s="3">
        <v>53</v>
      </c>
      <c r="G312" s="3">
        <v>130</v>
      </c>
      <c r="H312" s="3">
        <v>70</v>
      </c>
      <c r="I312" s="4">
        <v>6890</v>
      </c>
      <c r="J312" s="4">
        <v>3710</v>
      </c>
      <c r="K312" s="4">
        <v>3180</v>
      </c>
    </row>
    <row r="313" spans="1:11">
      <c r="A313" s="2" t="s">
        <v>345</v>
      </c>
      <c r="B313" s="3" t="s">
        <v>103</v>
      </c>
      <c r="C313" s="3" t="s">
        <v>95</v>
      </c>
      <c r="D313" s="3" t="s">
        <v>110</v>
      </c>
      <c r="E313" s="3">
        <v>32</v>
      </c>
      <c r="F313" s="3">
        <v>81</v>
      </c>
      <c r="G313" s="3">
        <v>110</v>
      </c>
      <c r="H313" s="3">
        <v>60</v>
      </c>
      <c r="I313" s="4">
        <v>8910</v>
      </c>
      <c r="J313" s="4">
        <v>4860</v>
      </c>
      <c r="K313" s="4">
        <v>4050</v>
      </c>
    </row>
    <row r="314" spans="1:11">
      <c r="A314" s="2" t="s">
        <v>193</v>
      </c>
      <c r="B314" s="3" t="s">
        <v>103</v>
      </c>
      <c r="C314" s="3" t="s">
        <v>96</v>
      </c>
      <c r="D314" s="3" t="s">
        <v>110</v>
      </c>
      <c r="E314" s="3">
        <v>26</v>
      </c>
      <c r="F314" s="3">
        <v>65</v>
      </c>
      <c r="G314" s="3">
        <v>90</v>
      </c>
      <c r="H314" s="3">
        <v>50</v>
      </c>
      <c r="I314" s="4">
        <v>5850</v>
      </c>
      <c r="J314" s="4">
        <v>3250</v>
      </c>
      <c r="K314" s="4">
        <v>2600</v>
      </c>
    </row>
    <row r="315" spans="1:11">
      <c r="A315" s="2" t="s">
        <v>346</v>
      </c>
      <c r="B315" s="3" t="s">
        <v>104</v>
      </c>
      <c r="C315" s="3" t="s">
        <v>93</v>
      </c>
      <c r="D315" s="3" t="s">
        <v>110</v>
      </c>
      <c r="E315" s="3">
        <v>34</v>
      </c>
      <c r="F315" s="3">
        <v>124</v>
      </c>
      <c r="G315" s="3">
        <v>100</v>
      </c>
      <c r="H315" s="3">
        <v>55</v>
      </c>
      <c r="I315" s="4">
        <v>12400</v>
      </c>
      <c r="J315" s="4">
        <v>6820</v>
      </c>
      <c r="K315" s="4">
        <v>5580</v>
      </c>
    </row>
    <row r="316" spans="1:11">
      <c r="A316" s="2" t="s">
        <v>255</v>
      </c>
      <c r="B316" s="3" t="s">
        <v>106</v>
      </c>
      <c r="C316" s="3" t="s">
        <v>93</v>
      </c>
      <c r="D316" s="3" t="s">
        <v>112</v>
      </c>
      <c r="E316" s="3">
        <v>34</v>
      </c>
      <c r="F316" s="3">
        <v>55</v>
      </c>
      <c r="G316" s="3">
        <v>100</v>
      </c>
      <c r="H316" s="3">
        <v>55</v>
      </c>
      <c r="I316" s="4">
        <v>5500</v>
      </c>
      <c r="J316" s="4">
        <v>3025</v>
      </c>
      <c r="K316" s="4">
        <v>2475</v>
      </c>
    </row>
    <row r="317" spans="1:11">
      <c r="A317" s="2" t="s">
        <v>185</v>
      </c>
      <c r="B317" s="3" t="s">
        <v>106</v>
      </c>
      <c r="C317" s="3" t="s">
        <v>97</v>
      </c>
      <c r="D317" s="3" t="s">
        <v>110</v>
      </c>
      <c r="E317" s="3">
        <v>41</v>
      </c>
      <c r="F317" s="3">
        <v>98</v>
      </c>
      <c r="G317" s="3">
        <v>130</v>
      </c>
      <c r="H317" s="3">
        <v>70</v>
      </c>
      <c r="I317" s="4">
        <v>12740</v>
      </c>
      <c r="J317" s="4">
        <v>6860</v>
      </c>
      <c r="K317" s="4">
        <v>5880</v>
      </c>
    </row>
    <row r="318" spans="1:11">
      <c r="A318" s="2" t="s">
        <v>227</v>
      </c>
      <c r="B318" s="3" t="s">
        <v>104</v>
      </c>
      <c r="C318" s="3" t="s">
        <v>98</v>
      </c>
      <c r="D318" s="3" t="s">
        <v>112</v>
      </c>
      <c r="E318" s="3">
        <v>34</v>
      </c>
      <c r="F318" s="3">
        <v>183</v>
      </c>
      <c r="G318" s="3">
        <v>100</v>
      </c>
      <c r="H318" s="3">
        <v>55</v>
      </c>
      <c r="I318" s="4">
        <v>18300</v>
      </c>
      <c r="J318" s="4">
        <v>10065</v>
      </c>
      <c r="K318" s="4">
        <v>8235</v>
      </c>
    </row>
    <row r="319" spans="1:11">
      <c r="A319" s="2" t="s">
        <v>198</v>
      </c>
      <c r="B319" s="3" t="s">
        <v>106</v>
      </c>
      <c r="C319" s="3" t="s">
        <v>94</v>
      </c>
      <c r="D319" s="3" t="s">
        <v>110</v>
      </c>
      <c r="E319" s="3">
        <v>19</v>
      </c>
      <c r="F319" s="3">
        <v>44</v>
      </c>
      <c r="G319" s="3">
        <v>80</v>
      </c>
      <c r="H319" s="3">
        <v>45</v>
      </c>
      <c r="I319" s="4">
        <v>3520</v>
      </c>
      <c r="J319" s="4">
        <v>1980</v>
      </c>
      <c r="K319" s="4">
        <v>1540</v>
      </c>
    </row>
    <row r="320" spans="1:11">
      <c r="A320" s="2" t="s">
        <v>254</v>
      </c>
      <c r="B320" s="3" t="s">
        <v>103</v>
      </c>
      <c r="C320" s="3" t="s">
        <v>95</v>
      </c>
      <c r="D320" s="3" t="s">
        <v>112</v>
      </c>
      <c r="E320" s="3">
        <v>26</v>
      </c>
      <c r="F320" s="3">
        <v>19</v>
      </c>
      <c r="G320" s="3">
        <v>110</v>
      </c>
      <c r="H320" s="3">
        <v>60</v>
      </c>
      <c r="I320" s="4">
        <v>2090</v>
      </c>
      <c r="J320" s="4">
        <v>1140</v>
      </c>
      <c r="K320" s="4">
        <v>950</v>
      </c>
    </row>
    <row r="321" spans="1:11">
      <c r="A321" s="2" t="s">
        <v>180</v>
      </c>
      <c r="B321" s="3" t="s">
        <v>103</v>
      </c>
      <c r="C321" s="3" t="s">
        <v>93</v>
      </c>
      <c r="D321" s="3" t="s">
        <v>111</v>
      </c>
      <c r="E321" s="3">
        <v>31</v>
      </c>
      <c r="F321" s="3">
        <v>94</v>
      </c>
      <c r="G321" s="3">
        <v>100</v>
      </c>
      <c r="H321" s="3">
        <v>55</v>
      </c>
      <c r="I321" s="4">
        <v>9400</v>
      </c>
      <c r="J321" s="4">
        <v>5170</v>
      </c>
      <c r="K321" s="4">
        <v>4230</v>
      </c>
    </row>
    <row r="322" spans="1:11">
      <c r="A322" s="2" t="s">
        <v>347</v>
      </c>
      <c r="B322" s="3" t="s">
        <v>104</v>
      </c>
      <c r="C322" s="3" t="s">
        <v>94</v>
      </c>
      <c r="D322" s="3" t="s">
        <v>110</v>
      </c>
      <c r="E322" s="3">
        <v>30</v>
      </c>
      <c r="F322" s="3">
        <v>54</v>
      </c>
      <c r="G322" s="3">
        <v>80</v>
      </c>
      <c r="H322" s="3">
        <v>45</v>
      </c>
      <c r="I322" s="4">
        <v>4320</v>
      </c>
      <c r="J322" s="4">
        <v>2430</v>
      </c>
      <c r="K322" s="4">
        <v>1890</v>
      </c>
    </row>
    <row r="323" spans="1:11">
      <c r="A323" s="2" t="s">
        <v>237</v>
      </c>
      <c r="B323" s="3" t="s">
        <v>103</v>
      </c>
      <c r="C323" s="3" t="s">
        <v>94</v>
      </c>
      <c r="D323" s="3" t="s">
        <v>111</v>
      </c>
      <c r="E323" s="3">
        <v>21</v>
      </c>
      <c r="F323" s="3">
        <v>41</v>
      </c>
      <c r="G323" s="3">
        <v>80</v>
      </c>
      <c r="H323" s="3">
        <v>45</v>
      </c>
      <c r="I323" s="4">
        <v>3280</v>
      </c>
      <c r="J323" s="4">
        <v>1845</v>
      </c>
      <c r="K323" s="4">
        <v>1435</v>
      </c>
    </row>
    <row r="324" spans="1:11">
      <c r="A324" s="2" t="s">
        <v>268</v>
      </c>
      <c r="B324" s="3" t="s">
        <v>106</v>
      </c>
      <c r="C324" s="3" t="s">
        <v>93</v>
      </c>
      <c r="D324" s="3" t="s">
        <v>110</v>
      </c>
      <c r="E324" s="3">
        <v>33</v>
      </c>
      <c r="F324" s="3">
        <v>92</v>
      </c>
      <c r="G324" s="3">
        <v>100</v>
      </c>
      <c r="H324" s="3">
        <v>55</v>
      </c>
      <c r="I324" s="4">
        <v>9200</v>
      </c>
      <c r="J324" s="4">
        <v>5060</v>
      </c>
      <c r="K324" s="4">
        <v>4140</v>
      </c>
    </row>
    <row r="325" spans="1:11">
      <c r="A325" s="2" t="s">
        <v>348</v>
      </c>
      <c r="B325" s="3" t="s">
        <v>104</v>
      </c>
      <c r="C325" s="3" t="s">
        <v>93</v>
      </c>
      <c r="D325" s="3" t="s">
        <v>111</v>
      </c>
      <c r="E325" s="3">
        <v>34</v>
      </c>
      <c r="F325" s="3">
        <v>63</v>
      </c>
      <c r="G325" s="3">
        <v>100</v>
      </c>
      <c r="H325" s="3">
        <v>55</v>
      </c>
      <c r="I325" s="4">
        <v>6300</v>
      </c>
      <c r="J325" s="4">
        <v>3465</v>
      </c>
      <c r="K325" s="4">
        <v>2835</v>
      </c>
    </row>
    <row r="326" spans="1:11">
      <c r="A326" s="2" t="s">
        <v>240</v>
      </c>
      <c r="B326" s="3" t="s">
        <v>105</v>
      </c>
      <c r="C326" s="3" t="s">
        <v>93</v>
      </c>
      <c r="D326" s="3" t="s">
        <v>111</v>
      </c>
      <c r="E326" s="3">
        <v>40</v>
      </c>
      <c r="F326" s="3">
        <v>132</v>
      </c>
      <c r="G326" s="3">
        <v>100</v>
      </c>
      <c r="H326" s="3">
        <v>55</v>
      </c>
      <c r="I326" s="4">
        <v>13200</v>
      </c>
      <c r="J326" s="4">
        <v>7260</v>
      </c>
      <c r="K326" s="4">
        <v>5940</v>
      </c>
    </row>
    <row r="327" spans="1:11">
      <c r="A327" s="2" t="s">
        <v>287</v>
      </c>
      <c r="B327" s="3" t="s">
        <v>105</v>
      </c>
      <c r="C327" s="3" t="s">
        <v>94</v>
      </c>
      <c r="D327" s="3" t="s">
        <v>110</v>
      </c>
      <c r="E327" s="3">
        <v>32</v>
      </c>
      <c r="F327" s="3">
        <v>56</v>
      </c>
      <c r="G327" s="3">
        <v>80</v>
      </c>
      <c r="H327" s="3">
        <v>45</v>
      </c>
      <c r="I327" s="4">
        <v>4480</v>
      </c>
      <c r="J327" s="4">
        <v>2520</v>
      </c>
      <c r="K327" s="4">
        <v>1960</v>
      </c>
    </row>
    <row r="328" spans="1:11">
      <c r="A328" s="2" t="s">
        <v>349</v>
      </c>
      <c r="B328" s="3" t="s">
        <v>103</v>
      </c>
      <c r="C328" s="3" t="s">
        <v>96</v>
      </c>
      <c r="D328" s="3" t="s">
        <v>110</v>
      </c>
      <c r="E328" s="3">
        <v>29</v>
      </c>
      <c r="F328" s="3">
        <v>81</v>
      </c>
      <c r="G328" s="3">
        <v>90</v>
      </c>
      <c r="H328" s="3">
        <v>50</v>
      </c>
      <c r="I328" s="4">
        <v>7290</v>
      </c>
      <c r="J328" s="4">
        <v>4050</v>
      </c>
      <c r="K328" s="4">
        <v>3240</v>
      </c>
    </row>
    <row r="329" spans="1:11">
      <c r="A329" s="2" t="s">
        <v>165</v>
      </c>
      <c r="B329" s="3" t="s">
        <v>105</v>
      </c>
      <c r="C329" s="3" t="s">
        <v>98</v>
      </c>
      <c r="D329" s="3" t="s">
        <v>111</v>
      </c>
      <c r="E329" s="3">
        <v>34</v>
      </c>
      <c r="F329" s="3">
        <v>111</v>
      </c>
      <c r="G329" s="3">
        <v>100</v>
      </c>
      <c r="H329" s="3">
        <v>55</v>
      </c>
      <c r="I329" s="4">
        <v>11100</v>
      </c>
      <c r="J329" s="4">
        <v>6105</v>
      </c>
      <c r="K329" s="4">
        <v>4995</v>
      </c>
    </row>
    <row r="330" spans="1:11">
      <c r="A330" s="2" t="s">
        <v>235</v>
      </c>
      <c r="B330" s="3" t="s">
        <v>104</v>
      </c>
      <c r="C330" s="3" t="s">
        <v>96</v>
      </c>
      <c r="D330" s="3" t="s">
        <v>110</v>
      </c>
      <c r="E330" s="3">
        <v>22</v>
      </c>
      <c r="F330" s="3">
        <v>31</v>
      </c>
      <c r="G330" s="3">
        <v>90</v>
      </c>
      <c r="H330" s="3">
        <v>50</v>
      </c>
      <c r="I330" s="4">
        <v>2790</v>
      </c>
      <c r="J330" s="4">
        <v>1550</v>
      </c>
      <c r="K330" s="4">
        <v>1240</v>
      </c>
    </row>
    <row r="331" spans="1:11">
      <c r="A331" s="2" t="s">
        <v>350</v>
      </c>
      <c r="B331" s="3" t="s">
        <v>104</v>
      </c>
      <c r="C331" s="3" t="s">
        <v>93</v>
      </c>
      <c r="D331" s="3" t="s">
        <v>110</v>
      </c>
      <c r="E331" s="3">
        <v>30</v>
      </c>
      <c r="F331" s="3">
        <v>108</v>
      </c>
      <c r="G331" s="3">
        <v>100</v>
      </c>
      <c r="H331" s="3">
        <v>55</v>
      </c>
      <c r="I331" s="4">
        <v>10800</v>
      </c>
      <c r="J331" s="4">
        <v>5940</v>
      </c>
      <c r="K331" s="4">
        <v>4860</v>
      </c>
    </row>
    <row r="332" spans="1:11">
      <c r="A332" s="2" t="s">
        <v>351</v>
      </c>
      <c r="B332" s="3" t="s">
        <v>103</v>
      </c>
      <c r="C332" s="3" t="s">
        <v>95</v>
      </c>
      <c r="D332" s="3" t="s">
        <v>111</v>
      </c>
      <c r="E332" s="3">
        <v>36</v>
      </c>
      <c r="F332" s="3">
        <v>62</v>
      </c>
      <c r="G332" s="3">
        <v>110</v>
      </c>
      <c r="H332" s="3">
        <v>60</v>
      </c>
      <c r="I332" s="4">
        <v>6820</v>
      </c>
      <c r="J332" s="4">
        <v>3720</v>
      </c>
      <c r="K332" s="4">
        <v>3100</v>
      </c>
    </row>
    <row r="333" spans="1:11">
      <c r="A333" s="2" t="s">
        <v>336</v>
      </c>
      <c r="B333" s="3" t="s">
        <v>103</v>
      </c>
      <c r="C333" s="3" t="s">
        <v>96</v>
      </c>
      <c r="D333" s="3" t="s">
        <v>110</v>
      </c>
      <c r="E333" s="3">
        <v>29</v>
      </c>
      <c r="F333" s="3">
        <v>61</v>
      </c>
      <c r="G333" s="3">
        <v>90</v>
      </c>
      <c r="H333" s="3">
        <v>50</v>
      </c>
      <c r="I333" s="4">
        <v>5490</v>
      </c>
      <c r="J333" s="4">
        <v>3050</v>
      </c>
      <c r="K333" s="4">
        <v>2440</v>
      </c>
    </row>
    <row r="334" spans="1:11">
      <c r="A334" s="2" t="s">
        <v>294</v>
      </c>
      <c r="B334" s="3" t="s">
        <v>104</v>
      </c>
      <c r="C334" s="3" t="s">
        <v>96</v>
      </c>
      <c r="D334" s="3" t="s">
        <v>110</v>
      </c>
      <c r="E334" s="3">
        <v>29</v>
      </c>
      <c r="F334" s="3">
        <v>55</v>
      </c>
      <c r="G334" s="3">
        <v>90</v>
      </c>
      <c r="H334" s="3">
        <v>50</v>
      </c>
      <c r="I334" s="4">
        <v>4950</v>
      </c>
      <c r="J334" s="4">
        <v>2750</v>
      </c>
      <c r="K334" s="4">
        <v>2200</v>
      </c>
    </row>
    <row r="335" spans="1:11">
      <c r="A335" s="2" t="s">
        <v>352</v>
      </c>
      <c r="B335" s="3" t="s">
        <v>105</v>
      </c>
      <c r="C335" s="3" t="s">
        <v>93</v>
      </c>
      <c r="D335" s="3" t="s">
        <v>110</v>
      </c>
      <c r="E335" s="3">
        <v>31</v>
      </c>
      <c r="F335" s="3">
        <v>81</v>
      </c>
      <c r="G335" s="3">
        <v>100</v>
      </c>
      <c r="H335" s="3">
        <v>55</v>
      </c>
      <c r="I335" s="4">
        <v>8100</v>
      </c>
      <c r="J335" s="4">
        <v>4455</v>
      </c>
      <c r="K335" s="4">
        <v>3645</v>
      </c>
    </row>
    <row r="336" spans="1:11">
      <c r="A336" s="2" t="s">
        <v>339</v>
      </c>
      <c r="B336" s="3" t="s">
        <v>106</v>
      </c>
      <c r="C336" s="3" t="s">
        <v>95</v>
      </c>
      <c r="D336" s="3" t="s">
        <v>112</v>
      </c>
      <c r="E336" s="3">
        <v>33</v>
      </c>
      <c r="F336" s="3">
        <v>46</v>
      </c>
      <c r="G336" s="3">
        <v>110</v>
      </c>
      <c r="H336" s="3">
        <v>60</v>
      </c>
      <c r="I336" s="4">
        <v>5060</v>
      </c>
      <c r="J336" s="4">
        <v>2760</v>
      </c>
      <c r="K336" s="4">
        <v>2300</v>
      </c>
    </row>
    <row r="337" spans="1:11">
      <c r="A337" s="2" t="s">
        <v>353</v>
      </c>
      <c r="B337" s="3" t="s">
        <v>103</v>
      </c>
      <c r="C337" s="3" t="s">
        <v>98</v>
      </c>
      <c r="D337" s="3" t="s">
        <v>110</v>
      </c>
      <c r="E337" s="3">
        <v>39</v>
      </c>
      <c r="F337" s="3">
        <v>107</v>
      </c>
      <c r="G337" s="3">
        <v>100</v>
      </c>
      <c r="H337" s="3">
        <v>55</v>
      </c>
      <c r="I337" s="4">
        <v>10700</v>
      </c>
      <c r="J337" s="4">
        <v>5885</v>
      </c>
      <c r="K337" s="4">
        <v>4815</v>
      </c>
    </row>
    <row r="338" spans="1:11">
      <c r="A338" s="2" t="s">
        <v>176</v>
      </c>
      <c r="B338" s="3" t="s">
        <v>104</v>
      </c>
      <c r="C338" s="3" t="s">
        <v>98</v>
      </c>
      <c r="D338" s="3" t="s">
        <v>110</v>
      </c>
      <c r="E338" s="3">
        <v>26</v>
      </c>
      <c r="F338" s="3">
        <v>101</v>
      </c>
      <c r="G338" s="3">
        <v>100</v>
      </c>
      <c r="H338" s="3">
        <v>55</v>
      </c>
      <c r="I338" s="4">
        <v>10100</v>
      </c>
      <c r="J338" s="4">
        <v>5555</v>
      </c>
      <c r="K338" s="4">
        <v>4545</v>
      </c>
    </row>
    <row r="339" spans="1:11">
      <c r="A339" s="2" t="s">
        <v>354</v>
      </c>
      <c r="B339" s="3" t="s">
        <v>104</v>
      </c>
      <c r="C339" s="3" t="s">
        <v>98</v>
      </c>
      <c r="D339" s="3" t="s">
        <v>112</v>
      </c>
      <c r="E339" s="3">
        <v>32</v>
      </c>
      <c r="F339" s="3">
        <v>118</v>
      </c>
      <c r="G339" s="3">
        <v>100</v>
      </c>
      <c r="H339" s="3">
        <v>55</v>
      </c>
      <c r="I339" s="4">
        <v>11800</v>
      </c>
      <c r="J339" s="4">
        <v>6490</v>
      </c>
      <c r="K339" s="4">
        <v>5310</v>
      </c>
    </row>
    <row r="340" spans="1:11">
      <c r="A340" s="2" t="s">
        <v>355</v>
      </c>
      <c r="B340" s="3" t="s">
        <v>103</v>
      </c>
      <c r="C340" s="3" t="s">
        <v>95</v>
      </c>
      <c r="D340" s="3" t="s">
        <v>110</v>
      </c>
      <c r="E340" s="3">
        <v>32</v>
      </c>
      <c r="F340" s="3">
        <v>92</v>
      </c>
      <c r="G340" s="3">
        <v>110</v>
      </c>
      <c r="H340" s="3">
        <v>60</v>
      </c>
      <c r="I340" s="4">
        <v>10120</v>
      </c>
      <c r="J340" s="4">
        <v>5520</v>
      </c>
      <c r="K340" s="4">
        <v>4600</v>
      </c>
    </row>
    <row r="341" spans="1:11">
      <c r="A341" s="2" t="s">
        <v>356</v>
      </c>
      <c r="B341" s="3" t="s">
        <v>103</v>
      </c>
      <c r="C341" s="3" t="s">
        <v>98</v>
      </c>
      <c r="D341" s="3" t="s">
        <v>110</v>
      </c>
      <c r="E341" s="3">
        <v>36</v>
      </c>
      <c r="F341" s="3">
        <v>197</v>
      </c>
      <c r="G341" s="3">
        <v>100</v>
      </c>
      <c r="H341" s="3">
        <v>55</v>
      </c>
      <c r="I341" s="4">
        <v>19700</v>
      </c>
      <c r="J341" s="4">
        <v>10835</v>
      </c>
      <c r="K341" s="4">
        <v>8865</v>
      </c>
    </row>
    <row r="342" spans="1:11">
      <c r="A342" s="2" t="s">
        <v>357</v>
      </c>
      <c r="B342" s="3" t="s">
        <v>103</v>
      </c>
      <c r="C342" s="3" t="s">
        <v>93</v>
      </c>
      <c r="D342" s="3" t="s">
        <v>110</v>
      </c>
      <c r="E342" s="3">
        <v>28</v>
      </c>
      <c r="F342" s="3">
        <v>44</v>
      </c>
      <c r="G342" s="3">
        <v>100</v>
      </c>
      <c r="H342" s="3">
        <v>55</v>
      </c>
      <c r="I342" s="4">
        <v>4400</v>
      </c>
      <c r="J342" s="4">
        <v>2420</v>
      </c>
      <c r="K342" s="4">
        <v>1980</v>
      </c>
    </row>
    <row r="343" spans="1:11">
      <c r="A343" s="2" t="s">
        <v>358</v>
      </c>
      <c r="B343" s="3" t="s">
        <v>104</v>
      </c>
      <c r="C343" s="3" t="s">
        <v>93</v>
      </c>
      <c r="D343" s="3" t="s">
        <v>111</v>
      </c>
      <c r="E343" s="3">
        <v>25</v>
      </c>
      <c r="F343" s="3">
        <v>41</v>
      </c>
      <c r="G343" s="3">
        <v>100</v>
      </c>
      <c r="H343" s="3">
        <v>55</v>
      </c>
      <c r="I343" s="4">
        <v>4100</v>
      </c>
      <c r="J343" s="4">
        <v>2255</v>
      </c>
      <c r="K343" s="4">
        <v>1845</v>
      </c>
    </row>
    <row r="344" spans="1:11">
      <c r="A344" s="2" t="s">
        <v>359</v>
      </c>
      <c r="B344" s="3" t="s">
        <v>103</v>
      </c>
      <c r="C344" s="3" t="s">
        <v>93</v>
      </c>
      <c r="D344" s="3" t="s">
        <v>111</v>
      </c>
      <c r="E344" s="3">
        <v>25</v>
      </c>
      <c r="F344" s="3">
        <v>26</v>
      </c>
      <c r="G344" s="3">
        <v>100</v>
      </c>
      <c r="H344" s="3">
        <v>55</v>
      </c>
      <c r="I344" s="4">
        <v>2600</v>
      </c>
      <c r="J344" s="4">
        <v>1430</v>
      </c>
      <c r="K344" s="4">
        <v>1170</v>
      </c>
    </row>
    <row r="345" spans="1:11">
      <c r="A345" s="2" t="s">
        <v>360</v>
      </c>
      <c r="B345" s="3" t="s">
        <v>106</v>
      </c>
      <c r="C345" s="3" t="s">
        <v>94</v>
      </c>
      <c r="D345" s="3" t="s">
        <v>111</v>
      </c>
      <c r="E345" s="3">
        <v>26</v>
      </c>
      <c r="F345" s="3">
        <v>96</v>
      </c>
      <c r="G345" s="3">
        <v>80</v>
      </c>
      <c r="H345" s="3">
        <v>45</v>
      </c>
      <c r="I345" s="4">
        <v>7680</v>
      </c>
      <c r="J345" s="4">
        <v>4320</v>
      </c>
      <c r="K345" s="4">
        <v>3360</v>
      </c>
    </row>
    <row r="346" spans="1:11">
      <c r="A346" s="2" t="s">
        <v>270</v>
      </c>
      <c r="B346" s="3" t="s">
        <v>105</v>
      </c>
      <c r="C346" s="3" t="s">
        <v>96</v>
      </c>
      <c r="D346" s="3" t="s">
        <v>111</v>
      </c>
      <c r="E346" s="3">
        <v>27</v>
      </c>
      <c r="F346" s="3">
        <v>91</v>
      </c>
      <c r="G346" s="3">
        <v>90</v>
      </c>
      <c r="H346" s="3">
        <v>50</v>
      </c>
      <c r="I346" s="4">
        <v>8190</v>
      </c>
      <c r="J346" s="4">
        <v>4550</v>
      </c>
      <c r="K346" s="4">
        <v>3640</v>
      </c>
    </row>
    <row r="347" spans="1:11">
      <c r="A347" s="2" t="s">
        <v>361</v>
      </c>
      <c r="B347" s="3" t="s">
        <v>103</v>
      </c>
      <c r="C347" s="3" t="s">
        <v>95</v>
      </c>
      <c r="D347" s="3" t="s">
        <v>112</v>
      </c>
      <c r="E347" s="3">
        <v>30</v>
      </c>
      <c r="F347" s="3">
        <v>42</v>
      </c>
      <c r="G347" s="3">
        <v>110</v>
      </c>
      <c r="H347" s="3">
        <v>60</v>
      </c>
      <c r="I347" s="4">
        <v>4620</v>
      </c>
      <c r="J347" s="4">
        <v>2520</v>
      </c>
      <c r="K347" s="4">
        <v>2100</v>
      </c>
    </row>
    <row r="348" spans="1:11">
      <c r="A348" s="2" t="s">
        <v>295</v>
      </c>
      <c r="B348" s="3" t="s">
        <v>106</v>
      </c>
      <c r="C348" s="3" t="s">
        <v>95</v>
      </c>
      <c r="D348" s="3" t="s">
        <v>111</v>
      </c>
      <c r="E348" s="3">
        <v>41</v>
      </c>
      <c r="F348" s="3">
        <v>60</v>
      </c>
      <c r="G348" s="3">
        <v>110</v>
      </c>
      <c r="H348" s="3">
        <v>60</v>
      </c>
      <c r="I348" s="4">
        <v>6600</v>
      </c>
      <c r="J348" s="4">
        <v>3600</v>
      </c>
      <c r="K348" s="4">
        <v>3000</v>
      </c>
    </row>
    <row r="349" spans="1:11">
      <c r="A349" s="2" t="s">
        <v>303</v>
      </c>
      <c r="B349" s="3" t="s">
        <v>104</v>
      </c>
      <c r="C349" s="3" t="s">
        <v>94</v>
      </c>
      <c r="D349" s="3" t="s">
        <v>110</v>
      </c>
      <c r="E349" s="3">
        <v>34</v>
      </c>
      <c r="F349" s="3">
        <v>88</v>
      </c>
      <c r="G349" s="3">
        <v>80</v>
      </c>
      <c r="H349" s="3">
        <v>45</v>
      </c>
      <c r="I349" s="4">
        <v>7040</v>
      </c>
      <c r="J349" s="4">
        <v>3960</v>
      </c>
      <c r="K349" s="4">
        <v>3080</v>
      </c>
    </row>
    <row r="350" spans="1:11">
      <c r="A350" s="2" t="s">
        <v>181</v>
      </c>
      <c r="B350" s="3" t="s">
        <v>103</v>
      </c>
      <c r="C350" s="3" t="s">
        <v>97</v>
      </c>
      <c r="D350" s="3" t="s">
        <v>110</v>
      </c>
      <c r="E350" s="3">
        <v>34</v>
      </c>
      <c r="F350" s="3">
        <v>81</v>
      </c>
      <c r="G350" s="3">
        <v>130</v>
      </c>
      <c r="H350" s="3">
        <v>70</v>
      </c>
      <c r="I350" s="4">
        <v>10530</v>
      </c>
      <c r="J350" s="4">
        <v>5670</v>
      </c>
      <c r="K350" s="4">
        <v>4860</v>
      </c>
    </row>
    <row r="351" spans="1:11">
      <c r="A351" s="2" t="s">
        <v>362</v>
      </c>
      <c r="B351" s="3" t="s">
        <v>106</v>
      </c>
      <c r="C351" s="3" t="s">
        <v>94</v>
      </c>
      <c r="D351" s="3" t="s">
        <v>111</v>
      </c>
      <c r="E351" s="3">
        <v>38</v>
      </c>
      <c r="F351" s="3">
        <v>168</v>
      </c>
      <c r="G351" s="3">
        <v>80</v>
      </c>
      <c r="H351" s="3">
        <v>45</v>
      </c>
      <c r="I351" s="4">
        <v>13440</v>
      </c>
      <c r="J351" s="4">
        <v>7560</v>
      </c>
      <c r="K351" s="4">
        <v>5880</v>
      </c>
    </row>
    <row r="352" spans="1:11">
      <c r="A352" s="2" t="s">
        <v>363</v>
      </c>
      <c r="B352" s="3" t="s">
        <v>103</v>
      </c>
      <c r="C352" s="3" t="s">
        <v>97</v>
      </c>
      <c r="D352" s="3" t="s">
        <v>111</v>
      </c>
      <c r="E352" s="3">
        <v>33</v>
      </c>
      <c r="F352" s="3">
        <v>50</v>
      </c>
      <c r="G352" s="3">
        <v>130</v>
      </c>
      <c r="H352" s="3">
        <v>70</v>
      </c>
      <c r="I352" s="4">
        <v>6500</v>
      </c>
      <c r="J352" s="4">
        <v>3500</v>
      </c>
      <c r="K352" s="4">
        <v>3000</v>
      </c>
    </row>
    <row r="353" spans="1:11">
      <c r="A353" s="2" t="s">
        <v>253</v>
      </c>
      <c r="B353" s="3" t="s">
        <v>105</v>
      </c>
      <c r="C353" s="3" t="s">
        <v>95</v>
      </c>
      <c r="D353" s="3" t="s">
        <v>111</v>
      </c>
      <c r="E353" s="3">
        <v>31</v>
      </c>
      <c r="F353" s="3">
        <v>104</v>
      </c>
      <c r="G353" s="3">
        <v>110</v>
      </c>
      <c r="H353" s="3">
        <v>60</v>
      </c>
      <c r="I353" s="4">
        <v>11440</v>
      </c>
      <c r="J353" s="4">
        <v>6240</v>
      </c>
      <c r="K353" s="4">
        <v>5200</v>
      </c>
    </row>
    <row r="354" spans="1:11">
      <c r="A354" s="2" t="s">
        <v>364</v>
      </c>
      <c r="B354" s="3" t="s">
        <v>106</v>
      </c>
      <c r="C354" s="3" t="s">
        <v>97</v>
      </c>
      <c r="D354" s="3" t="s">
        <v>110</v>
      </c>
      <c r="E354" s="3">
        <v>36</v>
      </c>
      <c r="F354" s="3">
        <v>51</v>
      </c>
      <c r="G354" s="3">
        <v>130</v>
      </c>
      <c r="H354" s="3">
        <v>70</v>
      </c>
      <c r="I354" s="4">
        <v>6630</v>
      </c>
      <c r="J354" s="4">
        <v>3570</v>
      </c>
      <c r="K354" s="4">
        <v>3060</v>
      </c>
    </row>
    <row r="355" spans="1:11">
      <c r="A355" s="2" t="s">
        <v>151</v>
      </c>
      <c r="B355" s="3" t="s">
        <v>104</v>
      </c>
      <c r="C355" s="3" t="s">
        <v>97</v>
      </c>
      <c r="D355" s="3" t="s">
        <v>110</v>
      </c>
      <c r="E355" s="3">
        <v>31</v>
      </c>
      <c r="F355" s="3">
        <v>73</v>
      </c>
      <c r="G355" s="3">
        <v>130</v>
      </c>
      <c r="H355" s="3">
        <v>70</v>
      </c>
      <c r="I355" s="4">
        <v>9490</v>
      </c>
      <c r="J355" s="4">
        <v>5110</v>
      </c>
      <c r="K355" s="4">
        <v>4380</v>
      </c>
    </row>
    <row r="356" spans="1:11">
      <c r="A356" s="2" t="s">
        <v>365</v>
      </c>
      <c r="B356" s="3" t="s">
        <v>105</v>
      </c>
      <c r="C356" s="3" t="s">
        <v>95</v>
      </c>
      <c r="D356" s="3" t="s">
        <v>111</v>
      </c>
      <c r="E356" s="3">
        <v>34</v>
      </c>
      <c r="F356" s="3">
        <v>167</v>
      </c>
      <c r="G356" s="3">
        <v>110</v>
      </c>
      <c r="H356" s="3">
        <v>60</v>
      </c>
      <c r="I356" s="4">
        <v>18370</v>
      </c>
      <c r="J356" s="4">
        <v>10020</v>
      </c>
      <c r="K356" s="4">
        <v>8350</v>
      </c>
    </row>
    <row r="357" spans="1:11">
      <c r="A357" s="2" t="s">
        <v>196</v>
      </c>
      <c r="B357" s="3" t="s">
        <v>106</v>
      </c>
      <c r="C357" s="3" t="s">
        <v>95</v>
      </c>
      <c r="D357" s="3" t="s">
        <v>111</v>
      </c>
      <c r="E357" s="3">
        <v>25</v>
      </c>
      <c r="F357" s="3">
        <v>46</v>
      </c>
      <c r="G357" s="3">
        <v>110</v>
      </c>
      <c r="H357" s="3">
        <v>60</v>
      </c>
      <c r="I357" s="4">
        <v>5060</v>
      </c>
      <c r="J357" s="4">
        <v>2760</v>
      </c>
      <c r="K357" s="4">
        <v>2300</v>
      </c>
    </row>
    <row r="358" spans="1:11">
      <c r="A358" s="2" t="s">
        <v>366</v>
      </c>
      <c r="B358" s="3" t="s">
        <v>106</v>
      </c>
      <c r="C358" s="3" t="s">
        <v>96</v>
      </c>
      <c r="D358" s="3" t="s">
        <v>111</v>
      </c>
      <c r="E358" s="3">
        <v>18</v>
      </c>
      <c r="F358" s="3">
        <v>12</v>
      </c>
      <c r="G358" s="3">
        <v>90</v>
      </c>
      <c r="H358" s="3">
        <v>50</v>
      </c>
      <c r="I358" s="4">
        <v>1080</v>
      </c>
      <c r="J358" s="4">
        <v>600</v>
      </c>
      <c r="K358" s="4">
        <v>480</v>
      </c>
    </row>
    <row r="359" spans="1:11">
      <c r="A359" s="2" t="s">
        <v>171</v>
      </c>
      <c r="B359" s="3" t="s">
        <v>106</v>
      </c>
      <c r="C359" s="3" t="s">
        <v>94</v>
      </c>
      <c r="D359" s="3" t="s">
        <v>111</v>
      </c>
      <c r="E359" s="3">
        <v>36</v>
      </c>
      <c r="F359" s="3">
        <v>59</v>
      </c>
      <c r="G359" s="3">
        <v>80</v>
      </c>
      <c r="H359" s="3">
        <v>45</v>
      </c>
      <c r="I359" s="4">
        <v>4720</v>
      </c>
      <c r="J359" s="4">
        <v>2655</v>
      </c>
      <c r="K359" s="4">
        <v>2065</v>
      </c>
    </row>
    <row r="360" spans="1:11">
      <c r="A360" s="2" t="s">
        <v>253</v>
      </c>
      <c r="B360" s="3" t="s">
        <v>103</v>
      </c>
      <c r="C360" s="3" t="s">
        <v>96</v>
      </c>
      <c r="D360" s="3" t="s">
        <v>110</v>
      </c>
      <c r="E360" s="3">
        <v>34</v>
      </c>
      <c r="F360" s="3">
        <v>42</v>
      </c>
      <c r="G360" s="3">
        <v>90</v>
      </c>
      <c r="H360" s="3">
        <v>50</v>
      </c>
      <c r="I360" s="4">
        <v>3780</v>
      </c>
      <c r="J360" s="4">
        <v>2100</v>
      </c>
      <c r="K360" s="4">
        <v>1680</v>
      </c>
    </row>
    <row r="361" spans="1:11">
      <c r="A361" s="2" t="s">
        <v>194</v>
      </c>
      <c r="B361" s="3" t="s">
        <v>106</v>
      </c>
      <c r="C361" s="3" t="s">
        <v>98</v>
      </c>
      <c r="D361" s="3" t="s">
        <v>111</v>
      </c>
      <c r="E361" s="3">
        <v>40</v>
      </c>
      <c r="F361" s="3">
        <v>63</v>
      </c>
      <c r="G361" s="3">
        <v>100</v>
      </c>
      <c r="H361" s="3">
        <v>55</v>
      </c>
      <c r="I361" s="4">
        <v>6300</v>
      </c>
      <c r="J361" s="4">
        <v>3465</v>
      </c>
      <c r="K361" s="4">
        <v>2835</v>
      </c>
    </row>
    <row r="362" spans="1:11">
      <c r="A362" s="2" t="s">
        <v>367</v>
      </c>
      <c r="B362" s="3" t="s">
        <v>103</v>
      </c>
      <c r="C362" s="3" t="s">
        <v>93</v>
      </c>
      <c r="D362" s="3" t="s">
        <v>110</v>
      </c>
      <c r="E362" s="3">
        <v>22</v>
      </c>
      <c r="F362" s="3">
        <v>28</v>
      </c>
      <c r="G362" s="3">
        <v>100</v>
      </c>
      <c r="H362" s="3">
        <v>55</v>
      </c>
      <c r="I362" s="4">
        <v>2800</v>
      </c>
      <c r="J362" s="4">
        <v>1540</v>
      </c>
      <c r="K362" s="4">
        <v>1260</v>
      </c>
    </row>
    <row r="363" spans="1:11">
      <c r="A363" s="2" t="s">
        <v>368</v>
      </c>
      <c r="B363" s="3" t="s">
        <v>104</v>
      </c>
      <c r="C363" s="3" t="s">
        <v>93</v>
      </c>
      <c r="D363" s="3" t="s">
        <v>111</v>
      </c>
      <c r="E363" s="3">
        <v>31</v>
      </c>
      <c r="F363" s="3">
        <v>53</v>
      </c>
      <c r="G363" s="3">
        <v>100</v>
      </c>
      <c r="H363" s="3">
        <v>55</v>
      </c>
      <c r="I363" s="4">
        <v>5300</v>
      </c>
      <c r="J363" s="4">
        <v>2915</v>
      </c>
      <c r="K363" s="4">
        <v>2385</v>
      </c>
    </row>
    <row r="364" spans="1:11">
      <c r="A364" s="2" t="s">
        <v>272</v>
      </c>
      <c r="B364" s="3" t="s">
        <v>105</v>
      </c>
      <c r="C364" s="3" t="s">
        <v>94</v>
      </c>
      <c r="D364" s="3" t="s">
        <v>110</v>
      </c>
      <c r="E364" s="3">
        <v>31</v>
      </c>
      <c r="F364" s="3">
        <v>50</v>
      </c>
      <c r="G364" s="3">
        <v>80</v>
      </c>
      <c r="H364" s="3">
        <v>45</v>
      </c>
      <c r="I364" s="4">
        <v>4000</v>
      </c>
      <c r="J364" s="4">
        <v>2250</v>
      </c>
      <c r="K364" s="4">
        <v>1750</v>
      </c>
    </row>
    <row r="365" spans="1:11">
      <c r="A365" s="2" t="s">
        <v>349</v>
      </c>
      <c r="B365" s="3" t="s">
        <v>104</v>
      </c>
      <c r="C365" s="3" t="s">
        <v>94</v>
      </c>
      <c r="D365" s="3" t="s">
        <v>110</v>
      </c>
      <c r="E365" s="3">
        <v>29</v>
      </c>
      <c r="F365" s="3">
        <v>100</v>
      </c>
      <c r="G365" s="3">
        <v>80</v>
      </c>
      <c r="H365" s="3">
        <v>45</v>
      </c>
      <c r="I365" s="4">
        <v>8000</v>
      </c>
      <c r="J365" s="4">
        <v>4500</v>
      </c>
      <c r="K365" s="4">
        <v>3500</v>
      </c>
    </row>
    <row r="366" spans="1:11">
      <c r="A366" s="2" t="s">
        <v>313</v>
      </c>
      <c r="B366" s="3" t="s">
        <v>103</v>
      </c>
      <c r="C366" s="3" t="s">
        <v>96</v>
      </c>
      <c r="D366" s="3" t="s">
        <v>111</v>
      </c>
      <c r="E366" s="3">
        <v>29</v>
      </c>
      <c r="F366" s="3">
        <v>84</v>
      </c>
      <c r="G366" s="3">
        <v>90</v>
      </c>
      <c r="H366" s="3">
        <v>50</v>
      </c>
      <c r="I366" s="4">
        <v>7560</v>
      </c>
      <c r="J366" s="4">
        <v>4200</v>
      </c>
      <c r="K366" s="4">
        <v>3360</v>
      </c>
    </row>
    <row r="367" spans="1:11">
      <c r="A367" s="2" t="s">
        <v>369</v>
      </c>
      <c r="B367" s="3" t="s">
        <v>104</v>
      </c>
      <c r="C367" s="3" t="s">
        <v>93</v>
      </c>
      <c r="D367" s="3" t="s">
        <v>111</v>
      </c>
      <c r="E367" s="3">
        <v>28</v>
      </c>
      <c r="F367" s="3">
        <v>89</v>
      </c>
      <c r="G367" s="3">
        <v>100</v>
      </c>
      <c r="H367" s="3">
        <v>55</v>
      </c>
      <c r="I367" s="4">
        <v>8900</v>
      </c>
      <c r="J367" s="4">
        <v>4895</v>
      </c>
      <c r="K367" s="4">
        <v>4005</v>
      </c>
    </row>
    <row r="368" spans="1:11">
      <c r="A368" s="2" t="s">
        <v>187</v>
      </c>
      <c r="B368" s="3" t="s">
        <v>103</v>
      </c>
      <c r="C368" s="3" t="s">
        <v>96</v>
      </c>
      <c r="D368" s="3" t="s">
        <v>111</v>
      </c>
      <c r="E368" s="3">
        <v>31</v>
      </c>
      <c r="F368" s="3">
        <v>105</v>
      </c>
      <c r="G368" s="3">
        <v>90</v>
      </c>
      <c r="H368" s="3">
        <v>50</v>
      </c>
      <c r="I368" s="4">
        <v>9450</v>
      </c>
      <c r="J368" s="4">
        <v>5250</v>
      </c>
      <c r="K368" s="4">
        <v>4200</v>
      </c>
    </row>
    <row r="369" spans="1:11">
      <c r="A369" s="2" t="s">
        <v>211</v>
      </c>
      <c r="B369" s="3" t="s">
        <v>104</v>
      </c>
      <c r="C369" s="3" t="s">
        <v>95</v>
      </c>
      <c r="D369" s="3" t="s">
        <v>110</v>
      </c>
      <c r="E369" s="3">
        <v>38</v>
      </c>
      <c r="F369" s="3">
        <v>143</v>
      </c>
      <c r="G369" s="3">
        <v>110</v>
      </c>
      <c r="H369" s="3">
        <v>60</v>
      </c>
      <c r="I369" s="4">
        <v>15730</v>
      </c>
      <c r="J369" s="4">
        <v>8580</v>
      </c>
      <c r="K369" s="4">
        <v>7150</v>
      </c>
    </row>
    <row r="370" spans="1:11">
      <c r="A370" s="2" t="s">
        <v>160</v>
      </c>
      <c r="B370" s="3" t="s">
        <v>103</v>
      </c>
      <c r="C370" s="3" t="s">
        <v>93</v>
      </c>
      <c r="D370" s="3" t="s">
        <v>110</v>
      </c>
      <c r="E370" s="3">
        <v>40</v>
      </c>
      <c r="F370" s="3">
        <v>96</v>
      </c>
      <c r="G370" s="3">
        <v>100</v>
      </c>
      <c r="H370" s="3">
        <v>55</v>
      </c>
      <c r="I370" s="4">
        <v>9600</v>
      </c>
      <c r="J370" s="4">
        <v>5280</v>
      </c>
      <c r="K370" s="4">
        <v>4320</v>
      </c>
    </row>
    <row r="371" spans="1:11">
      <c r="A371" s="2" t="s">
        <v>224</v>
      </c>
      <c r="B371" s="3" t="s">
        <v>104</v>
      </c>
      <c r="C371" s="3" t="s">
        <v>96</v>
      </c>
      <c r="D371" s="3" t="s">
        <v>111</v>
      </c>
      <c r="E371" s="3">
        <v>37</v>
      </c>
      <c r="F371" s="3">
        <v>96</v>
      </c>
      <c r="G371" s="3">
        <v>90</v>
      </c>
      <c r="H371" s="3">
        <v>50</v>
      </c>
      <c r="I371" s="4">
        <v>8640</v>
      </c>
      <c r="J371" s="4">
        <v>4800</v>
      </c>
      <c r="K371" s="4">
        <v>3840</v>
      </c>
    </row>
    <row r="372" spans="1:11">
      <c r="A372" s="2" t="s">
        <v>213</v>
      </c>
      <c r="B372" s="3" t="s">
        <v>104</v>
      </c>
      <c r="C372" s="3" t="s">
        <v>98</v>
      </c>
      <c r="D372" s="3" t="s">
        <v>111</v>
      </c>
      <c r="E372" s="3">
        <v>30</v>
      </c>
      <c r="F372" s="3">
        <v>45</v>
      </c>
      <c r="G372" s="3">
        <v>100</v>
      </c>
      <c r="H372" s="3">
        <v>55</v>
      </c>
      <c r="I372" s="4">
        <v>4500</v>
      </c>
      <c r="J372" s="4">
        <v>2475</v>
      </c>
      <c r="K372" s="4">
        <v>2025</v>
      </c>
    </row>
    <row r="373" spans="1:11">
      <c r="A373" s="2" t="s">
        <v>231</v>
      </c>
      <c r="B373" s="3" t="s">
        <v>103</v>
      </c>
      <c r="C373" s="3" t="s">
        <v>97</v>
      </c>
      <c r="D373" s="3" t="s">
        <v>111</v>
      </c>
      <c r="E373" s="3">
        <v>37</v>
      </c>
      <c r="F373" s="3">
        <v>143</v>
      </c>
      <c r="G373" s="3">
        <v>130</v>
      </c>
      <c r="H373" s="3">
        <v>70</v>
      </c>
      <c r="I373" s="4">
        <v>18590</v>
      </c>
      <c r="J373" s="4">
        <v>10010</v>
      </c>
      <c r="K373" s="4">
        <v>8580</v>
      </c>
    </row>
    <row r="374" spans="1:11">
      <c r="A374" s="2" t="s">
        <v>370</v>
      </c>
      <c r="B374" s="3" t="s">
        <v>103</v>
      </c>
      <c r="C374" s="3" t="s">
        <v>96</v>
      </c>
      <c r="D374" s="3" t="s">
        <v>112</v>
      </c>
      <c r="E374" s="3">
        <v>28</v>
      </c>
      <c r="F374" s="3">
        <v>71</v>
      </c>
      <c r="G374" s="3">
        <v>90</v>
      </c>
      <c r="H374" s="3">
        <v>50</v>
      </c>
      <c r="I374" s="4">
        <v>6390</v>
      </c>
      <c r="J374" s="4">
        <v>3550</v>
      </c>
      <c r="K374" s="4">
        <v>2840</v>
      </c>
    </row>
    <row r="375" spans="1:11">
      <c r="A375" s="2" t="s">
        <v>253</v>
      </c>
      <c r="B375" s="3" t="s">
        <v>104</v>
      </c>
      <c r="C375" s="3" t="s">
        <v>94</v>
      </c>
      <c r="D375" s="3" t="s">
        <v>110</v>
      </c>
      <c r="E375" s="3">
        <v>30</v>
      </c>
      <c r="F375" s="3">
        <v>78</v>
      </c>
      <c r="G375" s="3">
        <v>80</v>
      </c>
      <c r="H375" s="3">
        <v>45</v>
      </c>
      <c r="I375" s="4">
        <v>6240</v>
      </c>
      <c r="J375" s="4">
        <v>3510</v>
      </c>
      <c r="K375" s="4">
        <v>2730</v>
      </c>
    </row>
    <row r="376" spans="1:11">
      <c r="A376" s="2" t="s">
        <v>297</v>
      </c>
      <c r="B376" s="3" t="s">
        <v>105</v>
      </c>
      <c r="C376" s="3" t="s">
        <v>97</v>
      </c>
      <c r="D376" s="3" t="s">
        <v>111</v>
      </c>
      <c r="E376" s="3">
        <v>38</v>
      </c>
      <c r="F376" s="3">
        <v>175</v>
      </c>
      <c r="G376" s="3">
        <v>130</v>
      </c>
      <c r="H376" s="3">
        <v>70</v>
      </c>
      <c r="I376" s="4">
        <v>22750</v>
      </c>
      <c r="J376" s="4">
        <v>12250</v>
      </c>
      <c r="K376" s="4">
        <v>10500</v>
      </c>
    </row>
    <row r="377" spans="1:11">
      <c r="A377" s="2" t="s">
        <v>286</v>
      </c>
      <c r="B377" s="3" t="s">
        <v>104</v>
      </c>
      <c r="C377" s="3" t="s">
        <v>93</v>
      </c>
      <c r="D377" s="3" t="s">
        <v>111</v>
      </c>
      <c r="E377" s="3">
        <v>34</v>
      </c>
      <c r="F377" s="3">
        <v>99</v>
      </c>
      <c r="G377" s="3">
        <v>100</v>
      </c>
      <c r="H377" s="3">
        <v>55</v>
      </c>
      <c r="I377" s="4">
        <v>9900</v>
      </c>
      <c r="J377" s="4">
        <v>5445</v>
      </c>
      <c r="K377" s="4">
        <v>4455</v>
      </c>
    </row>
    <row r="378" spans="1:11">
      <c r="A378" s="2" t="s">
        <v>371</v>
      </c>
      <c r="B378" s="3" t="s">
        <v>103</v>
      </c>
      <c r="C378" s="3" t="s">
        <v>94</v>
      </c>
      <c r="D378" s="3" t="s">
        <v>110</v>
      </c>
      <c r="E378" s="3">
        <v>39</v>
      </c>
      <c r="F378" s="3">
        <v>133</v>
      </c>
      <c r="G378" s="3">
        <v>80</v>
      </c>
      <c r="H378" s="3">
        <v>45</v>
      </c>
      <c r="I378" s="4">
        <v>10640</v>
      </c>
      <c r="J378" s="4">
        <v>5985</v>
      </c>
      <c r="K378" s="4">
        <v>4655</v>
      </c>
    </row>
    <row r="379" spans="1:11">
      <c r="A379" s="2" t="s">
        <v>184</v>
      </c>
      <c r="B379" s="3" t="s">
        <v>103</v>
      </c>
      <c r="C379" s="3" t="s">
        <v>94</v>
      </c>
      <c r="D379" s="3" t="s">
        <v>110</v>
      </c>
      <c r="E379" s="3">
        <v>28</v>
      </c>
      <c r="F379" s="3">
        <v>36</v>
      </c>
      <c r="G379" s="3">
        <v>80</v>
      </c>
      <c r="H379" s="3">
        <v>45</v>
      </c>
      <c r="I379" s="4">
        <v>2880</v>
      </c>
      <c r="J379" s="4">
        <v>1620</v>
      </c>
      <c r="K379" s="4">
        <v>1260</v>
      </c>
    </row>
    <row r="380" spans="1:11">
      <c r="A380" s="2" t="s">
        <v>161</v>
      </c>
      <c r="B380" s="3" t="s">
        <v>106</v>
      </c>
      <c r="C380" s="3" t="s">
        <v>95</v>
      </c>
      <c r="D380" s="3" t="s">
        <v>110</v>
      </c>
      <c r="E380" s="3">
        <v>31</v>
      </c>
      <c r="F380" s="3">
        <v>106</v>
      </c>
      <c r="G380" s="3">
        <v>110</v>
      </c>
      <c r="H380" s="3">
        <v>60</v>
      </c>
      <c r="I380" s="4">
        <v>11660</v>
      </c>
      <c r="J380" s="4">
        <v>6360</v>
      </c>
      <c r="K380" s="4">
        <v>5300</v>
      </c>
    </row>
    <row r="381" spans="1:11">
      <c r="A381" s="2" t="s">
        <v>372</v>
      </c>
      <c r="B381" s="3" t="s">
        <v>106</v>
      </c>
      <c r="C381" s="3" t="s">
        <v>94</v>
      </c>
      <c r="D381" s="3" t="s">
        <v>110</v>
      </c>
      <c r="E381" s="3">
        <v>30</v>
      </c>
      <c r="F381" s="3">
        <v>86</v>
      </c>
      <c r="G381" s="3">
        <v>80</v>
      </c>
      <c r="H381" s="3">
        <v>45</v>
      </c>
      <c r="I381" s="4">
        <v>6880</v>
      </c>
      <c r="J381" s="4">
        <v>3870</v>
      </c>
      <c r="K381" s="4">
        <v>3010</v>
      </c>
    </row>
    <row r="382" spans="1:11">
      <c r="A382" s="2" t="s">
        <v>373</v>
      </c>
      <c r="B382" s="3" t="s">
        <v>105</v>
      </c>
      <c r="C382" s="3" t="s">
        <v>93</v>
      </c>
      <c r="D382" s="3" t="s">
        <v>110</v>
      </c>
      <c r="E382" s="3">
        <v>27</v>
      </c>
      <c r="F382" s="3">
        <v>44</v>
      </c>
      <c r="G382" s="3">
        <v>100</v>
      </c>
      <c r="H382" s="3">
        <v>55</v>
      </c>
      <c r="I382" s="4">
        <v>4400</v>
      </c>
      <c r="J382" s="4">
        <v>2420</v>
      </c>
      <c r="K382" s="4">
        <v>1980</v>
      </c>
    </row>
    <row r="383" spans="1:11">
      <c r="A383" s="2" t="s">
        <v>295</v>
      </c>
      <c r="B383" s="3" t="s">
        <v>106</v>
      </c>
      <c r="C383" s="3" t="s">
        <v>95</v>
      </c>
      <c r="D383" s="3" t="s">
        <v>111</v>
      </c>
      <c r="E383" s="3">
        <v>41</v>
      </c>
      <c r="F383" s="3">
        <v>198</v>
      </c>
      <c r="G383" s="3">
        <v>110</v>
      </c>
      <c r="H383" s="3">
        <v>60</v>
      </c>
      <c r="I383" s="4">
        <v>21780</v>
      </c>
      <c r="J383" s="4">
        <v>11880</v>
      </c>
      <c r="K383" s="4">
        <v>9900</v>
      </c>
    </row>
    <row r="384" spans="1:11">
      <c r="A384" s="2" t="s">
        <v>256</v>
      </c>
      <c r="B384" s="3" t="s">
        <v>103</v>
      </c>
      <c r="C384" s="3" t="s">
        <v>93</v>
      </c>
      <c r="D384" s="3" t="s">
        <v>111</v>
      </c>
      <c r="E384" s="3">
        <v>36</v>
      </c>
      <c r="F384" s="3">
        <v>107</v>
      </c>
      <c r="G384" s="3">
        <v>100</v>
      </c>
      <c r="H384" s="3">
        <v>55</v>
      </c>
      <c r="I384" s="4">
        <v>10700</v>
      </c>
      <c r="J384" s="4">
        <v>5885</v>
      </c>
      <c r="K384" s="4">
        <v>4815</v>
      </c>
    </row>
    <row r="385" spans="1:11">
      <c r="A385" s="2" t="s">
        <v>219</v>
      </c>
      <c r="B385" s="3" t="s">
        <v>105</v>
      </c>
      <c r="C385" s="3" t="s">
        <v>94</v>
      </c>
      <c r="D385" s="3" t="s">
        <v>110</v>
      </c>
      <c r="E385" s="3">
        <v>34</v>
      </c>
      <c r="F385" s="3">
        <v>98</v>
      </c>
      <c r="G385" s="3">
        <v>80</v>
      </c>
      <c r="H385" s="3">
        <v>45</v>
      </c>
      <c r="I385" s="4">
        <v>7840</v>
      </c>
      <c r="J385" s="4">
        <v>4410</v>
      </c>
      <c r="K385" s="4">
        <v>3430</v>
      </c>
    </row>
    <row r="386" spans="1:11">
      <c r="A386" s="2" t="s">
        <v>146</v>
      </c>
      <c r="B386" s="3" t="s">
        <v>106</v>
      </c>
      <c r="C386" s="3" t="s">
        <v>97</v>
      </c>
      <c r="D386" s="3" t="s">
        <v>110</v>
      </c>
      <c r="E386" s="3">
        <v>19</v>
      </c>
      <c r="F386" s="3">
        <v>42</v>
      </c>
      <c r="G386" s="3">
        <v>130</v>
      </c>
      <c r="H386" s="3">
        <v>70</v>
      </c>
      <c r="I386" s="4">
        <v>5460</v>
      </c>
      <c r="J386" s="4">
        <v>2940</v>
      </c>
      <c r="K386" s="4">
        <v>2520</v>
      </c>
    </row>
    <row r="387" spans="1:11">
      <c r="A387" s="2" t="s">
        <v>211</v>
      </c>
      <c r="B387" s="3" t="s">
        <v>103</v>
      </c>
      <c r="C387" s="3" t="s">
        <v>94</v>
      </c>
      <c r="D387" s="3" t="s">
        <v>112</v>
      </c>
      <c r="E387" s="3">
        <v>32</v>
      </c>
      <c r="F387" s="3">
        <v>82</v>
      </c>
      <c r="G387" s="3">
        <v>80</v>
      </c>
      <c r="H387" s="3">
        <v>45</v>
      </c>
      <c r="I387" s="4">
        <v>6560</v>
      </c>
      <c r="J387" s="4">
        <v>3690</v>
      </c>
      <c r="K387" s="4">
        <v>2870</v>
      </c>
    </row>
    <row r="388" spans="1:11">
      <c r="A388" s="2" t="s">
        <v>136</v>
      </c>
      <c r="B388" s="3" t="s">
        <v>106</v>
      </c>
      <c r="C388" s="3" t="s">
        <v>94</v>
      </c>
      <c r="D388" s="3" t="s">
        <v>111</v>
      </c>
      <c r="E388" s="3">
        <v>32</v>
      </c>
      <c r="F388" s="3">
        <v>135</v>
      </c>
      <c r="G388" s="3">
        <v>80</v>
      </c>
      <c r="H388" s="3">
        <v>45</v>
      </c>
      <c r="I388" s="4">
        <v>10800</v>
      </c>
      <c r="J388" s="4">
        <v>6075</v>
      </c>
      <c r="K388" s="4">
        <v>4725</v>
      </c>
    </row>
    <row r="389" spans="1:11">
      <c r="A389" s="2" t="s">
        <v>374</v>
      </c>
      <c r="B389" s="3" t="s">
        <v>103</v>
      </c>
      <c r="C389" s="3" t="s">
        <v>96</v>
      </c>
      <c r="D389" s="3" t="s">
        <v>111</v>
      </c>
      <c r="E389" s="3">
        <v>22</v>
      </c>
      <c r="F389" s="3">
        <v>19</v>
      </c>
      <c r="G389" s="3">
        <v>90</v>
      </c>
      <c r="H389" s="3">
        <v>50</v>
      </c>
      <c r="I389" s="4">
        <v>1710</v>
      </c>
      <c r="J389" s="4">
        <v>950</v>
      </c>
      <c r="K389" s="4">
        <v>760</v>
      </c>
    </row>
    <row r="390" spans="1:11">
      <c r="A390" s="2" t="s">
        <v>326</v>
      </c>
      <c r="B390" s="3" t="s">
        <v>106</v>
      </c>
      <c r="C390" s="3" t="s">
        <v>97</v>
      </c>
      <c r="D390" s="3" t="s">
        <v>111</v>
      </c>
      <c r="E390" s="3">
        <v>20</v>
      </c>
      <c r="F390" s="3">
        <v>43</v>
      </c>
      <c r="G390" s="3">
        <v>130</v>
      </c>
      <c r="H390" s="3">
        <v>70</v>
      </c>
      <c r="I390" s="4">
        <v>5590</v>
      </c>
      <c r="J390" s="4">
        <v>3010</v>
      </c>
      <c r="K390" s="4">
        <v>2580</v>
      </c>
    </row>
    <row r="391" spans="1:11">
      <c r="A391" s="2" t="s">
        <v>375</v>
      </c>
      <c r="B391" s="3" t="s">
        <v>103</v>
      </c>
      <c r="C391" s="3" t="s">
        <v>95</v>
      </c>
      <c r="D391" s="3" t="s">
        <v>111</v>
      </c>
      <c r="E391" s="3">
        <v>41</v>
      </c>
      <c r="F391" s="3">
        <v>87</v>
      </c>
      <c r="G391" s="3">
        <v>110</v>
      </c>
      <c r="H391" s="3">
        <v>60</v>
      </c>
      <c r="I391" s="4">
        <v>9570</v>
      </c>
      <c r="J391" s="4">
        <v>5220</v>
      </c>
      <c r="K391" s="4">
        <v>4350</v>
      </c>
    </row>
    <row r="392" spans="1:11">
      <c r="A392" s="2" t="s">
        <v>287</v>
      </c>
      <c r="B392" s="3" t="s">
        <v>105</v>
      </c>
      <c r="C392" s="3" t="s">
        <v>94</v>
      </c>
      <c r="D392" s="3" t="s">
        <v>110</v>
      </c>
      <c r="E392" s="3">
        <v>36</v>
      </c>
      <c r="F392" s="3">
        <v>184</v>
      </c>
      <c r="G392" s="3">
        <v>80</v>
      </c>
      <c r="H392" s="3">
        <v>45</v>
      </c>
      <c r="I392" s="4">
        <v>14720</v>
      </c>
      <c r="J392" s="4">
        <v>8280</v>
      </c>
      <c r="K392" s="4">
        <v>6440</v>
      </c>
    </row>
    <row r="393" spans="1:11">
      <c r="A393" s="2" t="s">
        <v>367</v>
      </c>
      <c r="B393" s="3" t="s">
        <v>105</v>
      </c>
      <c r="C393" s="3" t="s">
        <v>96</v>
      </c>
      <c r="D393" s="3" t="s">
        <v>111</v>
      </c>
      <c r="E393" s="3">
        <v>25</v>
      </c>
      <c r="F393" s="3">
        <v>24</v>
      </c>
      <c r="G393" s="3">
        <v>90</v>
      </c>
      <c r="H393" s="3">
        <v>50</v>
      </c>
      <c r="I393" s="4">
        <v>2160</v>
      </c>
      <c r="J393" s="4">
        <v>1200</v>
      </c>
      <c r="K393" s="4">
        <v>960</v>
      </c>
    </row>
    <row r="394" spans="1:11">
      <c r="A394" s="2" t="s">
        <v>357</v>
      </c>
      <c r="B394" s="3" t="s">
        <v>106</v>
      </c>
      <c r="C394" s="3" t="s">
        <v>98</v>
      </c>
      <c r="D394" s="3" t="s">
        <v>112</v>
      </c>
      <c r="E394" s="3">
        <v>34</v>
      </c>
      <c r="F394" s="3">
        <v>56</v>
      </c>
      <c r="G394" s="3">
        <v>100</v>
      </c>
      <c r="H394" s="3">
        <v>55</v>
      </c>
      <c r="I394" s="4">
        <v>5600</v>
      </c>
      <c r="J394" s="4">
        <v>3080</v>
      </c>
      <c r="K394" s="4">
        <v>2520</v>
      </c>
    </row>
    <row r="395" spans="1:11">
      <c r="A395" s="2" t="s">
        <v>376</v>
      </c>
      <c r="B395" s="3" t="s">
        <v>105</v>
      </c>
      <c r="C395" s="3" t="s">
        <v>97</v>
      </c>
      <c r="D395" s="3" t="s">
        <v>110</v>
      </c>
      <c r="E395" s="3">
        <v>39</v>
      </c>
      <c r="F395" s="3">
        <v>180</v>
      </c>
      <c r="G395" s="3">
        <v>130</v>
      </c>
      <c r="H395" s="3">
        <v>70</v>
      </c>
      <c r="I395" s="4">
        <v>23400</v>
      </c>
      <c r="J395" s="4">
        <v>12600</v>
      </c>
      <c r="K395" s="4">
        <v>10800</v>
      </c>
    </row>
    <row r="396" spans="1:11">
      <c r="A396" s="2" t="s">
        <v>372</v>
      </c>
      <c r="B396" s="3" t="s">
        <v>104</v>
      </c>
      <c r="C396" s="3" t="s">
        <v>96</v>
      </c>
      <c r="D396" s="3" t="s">
        <v>110</v>
      </c>
      <c r="E396" s="3">
        <v>32</v>
      </c>
      <c r="F396" s="3">
        <v>81</v>
      </c>
      <c r="G396" s="3">
        <v>90</v>
      </c>
      <c r="H396" s="3">
        <v>50</v>
      </c>
      <c r="I396" s="4">
        <v>7290</v>
      </c>
      <c r="J396" s="4">
        <v>4050</v>
      </c>
      <c r="K396" s="4">
        <v>3240</v>
      </c>
    </row>
    <row r="397" spans="1:11">
      <c r="A397" s="2" t="s">
        <v>377</v>
      </c>
      <c r="B397" s="3" t="s">
        <v>103</v>
      </c>
      <c r="C397" s="3" t="s">
        <v>93</v>
      </c>
      <c r="D397" s="3" t="s">
        <v>110</v>
      </c>
      <c r="E397" s="3">
        <v>39</v>
      </c>
      <c r="F397" s="3">
        <v>60</v>
      </c>
      <c r="G397" s="3">
        <v>100</v>
      </c>
      <c r="H397" s="3">
        <v>55</v>
      </c>
      <c r="I397" s="4">
        <v>6000</v>
      </c>
      <c r="J397" s="4">
        <v>3300</v>
      </c>
      <c r="K397" s="4">
        <v>2700</v>
      </c>
    </row>
    <row r="398" spans="1:11">
      <c r="A398" s="2" t="s">
        <v>363</v>
      </c>
      <c r="B398" s="3" t="s">
        <v>103</v>
      </c>
      <c r="C398" s="3" t="s">
        <v>96</v>
      </c>
      <c r="D398" s="3" t="s">
        <v>111</v>
      </c>
      <c r="E398" s="3">
        <v>30</v>
      </c>
      <c r="F398" s="3">
        <v>65</v>
      </c>
      <c r="G398" s="3">
        <v>90</v>
      </c>
      <c r="H398" s="3">
        <v>50</v>
      </c>
      <c r="I398" s="4">
        <v>5850</v>
      </c>
      <c r="J398" s="4">
        <v>3250</v>
      </c>
      <c r="K398" s="4">
        <v>2600</v>
      </c>
    </row>
    <row r="399" spans="1:11">
      <c r="A399" s="2" t="s">
        <v>378</v>
      </c>
      <c r="B399" s="3" t="s">
        <v>105</v>
      </c>
      <c r="C399" s="3" t="s">
        <v>93</v>
      </c>
      <c r="D399" s="3" t="s">
        <v>110</v>
      </c>
      <c r="E399" s="3">
        <v>33</v>
      </c>
      <c r="F399" s="3">
        <v>153</v>
      </c>
      <c r="G399" s="3">
        <v>100</v>
      </c>
      <c r="H399" s="3">
        <v>55</v>
      </c>
      <c r="I399" s="4">
        <v>15300</v>
      </c>
      <c r="J399" s="4">
        <v>8415</v>
      </c>
      <c r="K399" s="4">
        <v>6885</v>
      </c>
    </row>
    <row r="400" spans="1:11">
      <c r="A400" s="2" t="s">
        <v>339</v>
      </c>
      <c r="B400" s="3" t="s">
        <v>104</v>
      </c>
      <c r="C400" s="3" t="s">
        <v>93</v>
      </c>
      <c r="D400" s="3" t="s">
        <v>110</v>
      </c>
      <c r="E400" s="3">
        <v>28</v>
      </c>
      <c r="F400" s="3">
        <v>109</v>
      </c>
      <c r="G400" s="3">
        <v>100</v>
      </c>
      <c r="H400" s="3">
        <v>55</v>
      </c>
      <c r="I400" s="4">
        <v>10900</v>
      </c>
      <c r="J400" s="4">
        <v>5995</v>
      </c>
      <c r="K400" s="4">
        <v>4905</v>
      </c>
    </row>
    <row r="401" spans="1:11">
      <c r="A401" s="2" t="s">
        <v>188</v>
      </c>
      <c r="B401" s="3" t="s">
        <v>103</v>
      </c>
      <c r="C401" s="3" t="s">
        <v>97</v>
      </c>
      <c r="D401" s="3" t="s">
        <v>112</v>
      </c>
      <c r="E401" s="3">
        <v>18</v>
      </c>
      <c r="F401" s="3">
        <v>42</v>
      </c>
      <c r="G401" s="3">
        <v>130</v>
      </c>
      <c r="H401" s="3">
        <v>70</v>
      </c>
      <c r="I401" s="4">
        <v>5460</v>
      </c>
      <c r="J401" s="4">
        <v>2940</v>
      </c>
      <c r="K401" s="4">
        <v>2520</v>
      </c>
    </row>
    <row r="402" spans="1:11">
      <c r="A402" s="2" t="s">
        <v>304</v>
      </c>
      <c r="B402" s="3" t="s">
        <v>105</v>
      </c>
      <c r="C402" s="3" t="s">
        <v>98</v>
      </c>
      <c r="D402" s="3" t="s">
        <v>110</v>
      </c>
      <c r="E402" s="3">
        <v>23</v>
      </c>
      <c r="F402" s="3">
        <v>13</v>
      </c>
      <c r="G402" s="3">
        <v>100</v>
      </c>
      <c r="H402" s="3">
        <v>55</v>
      </c>
      <c r="I402" s="4">
        <v>1300</v>
      </c>
      <c r="J402" s="4">
        <v>715</v>
      </c>
      <c r="K402" s="4">
        <v>585</v>
      </c>
    </row>
    <row r="403" spans="1:11">
      <c r="A403" s="2" t="s">
        <v>260</v>
      </c>
      <c r="B403" s="3" t="s">
        <v>106</v>
      </c>
      <c r="C403" s="3" t="s">
        <v>94</v>
      </c>
      <c r="D403" s="3" t="s">
        <v>111</v>
      </c>
      <c r="E403" s="3">
        <v>24</v>
      </c>
      <c r="F403" s="3">
        <v>55</v>
      </c>
      <c r="G403" s="3">
        <v>80</v>
      </c>
      <c r="H403" s="3">
        <v>45</v>
      </c>
      <c r="I403" s="4">
        <v>4400</v>
      </c>
      <c r="J403" s="4">
        <v>2475</v>
      </c>
      <c r="K403" s="4">
        <v>1925</v>
      </c>
    </row>
    <row r="404" spans="1:11">
      <c r="A404" s="2" t="s">
        <v>379</v>
      </c>
      <c r="B404" s="3" t="s">
        <v>104</v>
      </c>
      <c r="C404" s="3" t="s">
        <v>97</v>
      </c>
      <c r="D404" s="3" t="s">
        <v>110</v>
      </c>
      <c r="E404" s="3">
        <v>19</v>
      </c>
      <c r="F404" s="3">
        <v>39</v>
      </c>
      <c r="G404" s="3">
        <v>130</v>
      </c>
      <c r="H404" s="3">
        <v>70</v>
      </c>
      <c r="I404" s="4">
        <v>5070</v>
      </c>
      <c r="J404" s="4">
        <v>2730</v>
      </c>
      <c r="K404" s="4">
        <v>2340</v>
      </c>
    </row>
    <row r="405" spans="1:11">
      <c r="A405" s="2" t="s">
        <v>349</v>
      </c>
      <c r="B405" s="3" t="s">
        <v>106</v>
      </c>
      <c r="C405" s="3" t="s">
        <v>97</v>
      </c>
      <c r="D405" s="3" t="s">
        <v>111</v>
      </c>
      <c r="E405" s="3">
        <v>30</v>
      </c>
      <c r="F405" s="3">
        <v>56</v>
      </c>
      <c r="G405" s="3">
        <v>130</v>
      </c>
      <c r="H405" s="3">
        <v>70</v>
      </c>
      <c r="I405" s="4">
        <v>7280</v>
      </c>
      <c r="J405" s="4">
        <v>3920</v>
      </c>
      <c r="K405" s="4">
        <v>3360</v>
      </c>
    </row>
    <row r="406" spans="1:11">
      <c r="A406" s="2" t="s">
        <v>237</v>
      </c>
      <c r="B406" s="3" t="s">
        <v>103</v>
      </c>
      <c r="C406" s="3" t="s">
        <v>94</v>
      </c>
      <c r="D406" s="3" t="s">
        <v>111</v>
      </c>
      <c r="E406" s="3">
        <v>22</v>
      </c>
      <c r="F406" s="3">
        <v>35</v>
      </c>
      <c r="G406" s="3">
        <v>80</v>
      </c>
      <c r="H406" s="3">
        <v>45</v>
      </c>
      <c r="I406" s="4">
        <v>2800</v>
      </c>
      <c r="J406" s="4">
        <v>1575</v>
      </c>
      <c r="K406" s="4">
        <v>1225</v>
      </c>
    </row>
    <row r="407" spans="1:11">
      <c r="A407" s="2" t="s">
        <v>272</v>
      </c>
      <c r="B407" s="3" t="s">
        <v>106</v>
      </c>
      <c r="C407" s="3" t="s">
        <v>94</v>
      </c>
      <c r="D407" s="3" t="s">
        <v>111</v>
      </c>
      <c r="E407" s="3">
        <v>31</v>
      </c>
      <c r="F407" s="3">
        <v>79</v>
      </c>
      <c r="G407" s="3">
        <v>80</v>
      </c>
      <c r="H407" s="3">
        <v>45</v>
      </c>
      <c r="I407" s="4">
        <v>6320</v>
      </c>
      <c r="J407" s="4">
        <v>3555</v>
      </c>
      <c r="K407" s="4">
        <v>2765</v>
      </c>
    </row>
    <row r="408" spans="1:11">
      <c r="A408" s="2" t="s">
        <v>314</v>
      </c>
      <c r="B408" s="3" t="s">
        <v>106</v>
      </c>
      <c r="C408" s="3" t="s">
        <v>95</v>
      </c>
      <c r="D408" s="3" t="s">
        <v>112</v>
      </c>
      <c r="E408" s="3">
        <v>30</v>
      </c>
      <c r="F408" s="3">
        <v>102</v>
      </c>
      <c r="G408" s="3">
        <v>110</v>
      </c>
      <c r="H408" s="3">
        <v>60</v>
      </c>
      <c r="I408" s="4">
        <v>11220</v>
      </c>
      <c r="J408" s="4">
        <v>6120</v>
      </c>
      <c r="K408" s="4">
        <v>5100</v>
      </c>
    </row>
    <row r="409" spans="1:11">
      <c r="A409" s="2" t="s">
        <v>288</v>
      </c>
      <c r="B409" s="3" t="s">
        <v>106</v>
      </c>
      <c r="C409" s="3" t="s">
        <v>93</v>
      </c>
      <c r="D409" s="3" t="s">
        <v>110</v>
      </c>
      <c r="E409" s="3">
        <v>33</v>
      </c>
      <c r="F409" s="3">
        <v>50</v>
      </c>
      <c r="G409" s="3">
        <v>100</v>
      </c>
      <c r="H409" s="3">
        <v>55</v>
      </c>
      <c r="I409" s="4">
        <v>5000</v>
      </c>
      <c r="J409" s="4">
        <v>2750</v>
      </c>
      <c r="K409" s="4">
        <v>2250</v>
      </c>
    </row>
    <row r="410" spans="1:11">
      <c r="A410" s="2" t="s">
        <v>380</v>
      </c>
      <c r="B410" s="3" t="s">
        <v>103</v>
      </c>
      <c r="C410" s="3" t="s">
        <v>94</v>
      </c>
      <c r="D410" s="3" t="s">
        <v>110</v>
      </c>
      <c r="E410" s="3">
        <v>28</v>
      </c>
      <c r="F410" s="3">
        <v>70</v>
      </c>
      <c r="G410" s="3">
        <v>80</v>
      </c>
      <c r="H410" s="3">
        <v>45</v>
      </c>
      <c r="I410" s="4">
        <v>5600</v>
      </c>
      <c r="J410" s="4">
        <v>3150</v>
      </c>
      <c r="K410" s="4">
        <v>2450</v>
      </c>
    </row>
    <row r="411" spans="1:11">
      <c r="A411" s="2" t="s">
        <v>167</v>
      </c>
      <c r="B411" s="3" t="s">
        <v>105</v>
      </c>
      <c r="C411" s="3" t="s">
        <v>95</v>
      </c>
      <c r="D411" s="3" t="s">
        <v>111</v>
      </c>
      <c r="E411" s="3">
        <v>18</v>
      </c>
      <c r="F411" s="3">
        <v>31</v>
      </c>
      <c r="G411" s="3">
        <v>110</v>
      </c>
      <c r="H411" s="3">
        <v>60</v>
      </c>
      <c r="I411" s="4">
        <v>3410</v>
      </c>
      <c r="J411" s="4">
        <v>1860</v>
      </c>
      <c r="K411" s="4">
        <v>1550</v>
      </c>
    </row>
    <row r="412" spans="1:11">
      <c r="A412" s="2" t="s">
        <v>381</v>
      </c>
      <c r="B412" s="3" t="s">
        <v>106</v>
      </c>
      <c r="C412" s="3" t="s">
        <v>98</v>
      </c>
      <c r="D412" s="3" t="s">
        <v>110</v>
      </c>
      <c r="E412" s="3">
        <v>21</v>
      </c>
      <c r="F412" s="3">
        <v>42</v>
      </c>
      <c r="G412" s="3">
        <v>100</v>
      </c>
      <c r="H412" s="3">
        <v>55</v>
      </c>
      <c r="I412" s="4">
        <v>4200</v>
      </c>
      <c r="J412" s="4">
        <v>2310</v>
      </c>
      <c r="K412" s="4">
        <v>1890</v>
      </c>
    </row>
    <row r="413" spans="1:11">
      <c r="A413" s="2" t="s">
        <v>193</v>
      </c>
      <c r="B413" s="3" t="s">
        <v>103</v>
      </c>
      <c r="C413" s="3" t="s">
        <v>94</v>
      </c>
      <c r="D413" s="3" t="s">
        <v>110</v>
      </c>
      <c r="E413" s="3">
        <v>32</v>
      </c>
      <c r="F413" s="3">
        <v>76</v>
      </c>
      <c r="G413" s="3">
        <v>80</v>
      </c>
      <c r="H413" s="3">
        <v>45</v>
      </c>
      <c r="I413" s="4">
        <v>6080</v>
      </c>
      <c r="J413" s="4">
        <v>3420</v>
      </c>
      <c r="K413" s="4">
        <v>2660</v>
      </c>
    </row>
    <row r="414" spans="1:11">
      <c r="A414" s="2" t="s">
        <v>148</v>
      </c>
      <c r="B414" s="3" t="s">
        <v>106</v>
      </c>
      <c r="C414" s="3" t="s">
        <v>95</v>
      </c>
      <c r="D414" s="3" t="s">
        <v>110</v>
      </c>
      <c r="E414" s="3">
        <v>28</v>
      </c>
      <c r="F414" s="3">
        <v>92</v>
      </c>
      <c r="G414" s="3">
        <v>110</v>
      </c>
      <c r="H414" s="3">
        <v>60</v>
      </c>
      <c r="I414" s="4">
        <v>10120</v>
      </c>
      <c r="J414" s="4">
        <v>5520</v>
      </c>
      <c r="K414" s="4">
        <v>4600</v>
      </c>
    </row>
    <row r="415" spans="1:11">
      <c r="A415" s="2" t="s">
        <v>177</v>
      </c>
      <c r="B415" s="3" t="s">
        <v>103</v>
      </c>
      <c r="C415" s="3" t="s">
        <v>98</v>
      </c>
      <c r="D415" s="3" t="s">
        <v>110</v>
      </c>
      <c r="E415" s="3">
        <v>20</v>
      </c>
      <c r="F415" s="3">
        <v>30</v>
      </c>
      <c r="G415" s="3">
        <v>100</v>
      </c>
      <c r="H415" s="3">
        <v>55</v>
      </c>
      <c r="I415" s="4">
        <v>3000</v>
      </c>
      <c r="J415" s="4">
        <v>1650</v>
      </c>
      <c r="K415" s="4">
        <v>1350</v>
      </c>
    </row>
    <row r="416" spans="1:11">
      <c r="A416" s="2" t="s">
        <v>382</v>
      </c>
      <c r="B416" s="3" t="s">
        <v>105</v>
      </c>
      <c r="C416" s="3" t="s">
        <v>93</v>
      </c>
      <c r="D416" s="3" t="s">
        <v>112</v>
      </c>
      <c r="E416" s="3">
        <v>18</v>
      </c>
      <c r="F416" s="3">
        <v>21</v>
      </c>
      <c r="G416" s="3">
        <v>100</v>
      </c>
      <c r="H416" s="3">
        <v>55</v>
      </c>
      <c r="I416" s="4">
        <v>2100</v>
      </c>
      <c r="J416" s="4">
        <v>1155</v>
      </c>
      <c r="K416" s="4">
        <v>945</v>
      </c>
    </row>
    <row r="417" spans="1:11">
      <c r="A417" s="2" t="s">
        <v>281</v>
      </c>
      <c r="B417" s="3" t="s">
        <v>103</v>
      </c>
      <c r="C417" s="3" t="s">
        <v>98</v>
      </c>
      <c r="D417" s="3" t="s">
        <v>112</v>
      </c>
      <c r="E417" s="3">
        <v>32</v>
      </c>
      <c r="F417" s="3">
        <v>35</v>
      </c>
      <c r="G417" s="3">
        <v>100</v>
      </c>
      <c r="H417" s="3">
        <v>55</v>
      </c>
      <c r="I417" s="4">
        <v>3500</v>
      </c>
      <c r="J417" s="4">
        <v>1925</v>
      </c>
      <c r="K417" s="4">
        <v>1575</v>
      </c>
    </row>
    <row r="418" spans="1:11">
      <c r="A418" s="2" t="s">
        <v>383</v>
      </c>
      <c r="B418" s="3" t="s">
        <v>104</v>
      </c>
      <c r="C418" s="3" t="s">
        <v>93</v>
      </c>
      <c r="D418" s="3" t="s">
        <v>110</v>
      </c>
      <c r="E418" s="3">
        <v>34</v>
      </c>
      <c r="F418" s="3">
        <v>121</v>
      </c>
      <c r="G418" s="3">
        <v>100</v>
      </c>
      <c r="H418" s="3">
        <v>55</v>
      </c>
      <c r="I418" s="4">
        <v>12100</v>
      </c>
      <c r="J418" s="4">
        <v>6655</v>
      </c>
      <c r="K418" s="4">
        <v>5445</v>
      </c>
    </row>
    <row r="419" spans="1:11">
      <c r="A419" s="2" t="s">
        <v>166</v>
      </c>
      <c r="B419" s="3" t="s">
        <v>103</v>
      </c>
      <c r="C419" s="3" t="s">
        <v>97</v>
      </c>
      <c r="D419" s="3" t="s">
        <v>110</v>
      </c>
      <c r="E419" s="3">
        <v>39</v>
      </c>
      <c r="F419" s="3">
        <v>74</v>
      </c>
      <c r="G419" s="3">
        <v>130</v>
      </c>
      <c r="H419" s="3">
        <v>70</v>
      </c>
      <c r="I419" s="4">
        <v>9620</v>
      </c>
      <c r="J419" s="4">
        <v>5180</v>
      </c>
      <c r="K419" s="4">
        <v>4440</v>
      </c>
    </row>
    <row r="420" spans="1:11">
      <c r="A420" s="2" t="s">
        <v>285</v>
      </c>
      <c r="B420" s="3" t="s">
        <v>106</v>
      </c>
      <c r="C420" s="3" t="s">
        <v>94</v>
      </c>
      <c r="D420" s="3" t="s">
        <v>110</v>
      </c>
      <c r="E420" s="3">
        <v>20</v>
      </c>
      <c r="F420" s="3">
        <v>28</v>
      </c>
      <c r="G420" s="3">
        <v>80</v>
      </c>
      <c r="H420" s="3">
        <v>45</v>
      </c>
      <c r="I420" s="4">
        <v>2240</v>
      </c>
      <c r="J420" s="4">
        <v>1260</v>
      </c>
      <c r="K420" s="4">
        <v>980</v>
      </c>
    </row>
    <row r="421" spans="1:11">
      <c r="A421" s="2" t="s">
        <v>384</v>
      </c>
      <c r="B421" s="3" t="s">
        <v>103</v>
      </c>
      <c r="C421" s="3" t="s">
        <v>98</v>
      </c>
      <c r="D421" s="3" t="s">
        <v>112</v>
      </c>
      <c r="E421" s="3">
        <v>34</v>
      </c>
      <c r="F421" s="3">
        <v>92</v>
      </c>
      <c r="G421" s="3">
        <v>100</v>
      </c>
      <c r="H421" s="3">
        <v>55</v>
      </c>
      <c r="I421" s="4">
        <v>9200</v>
      </c>
      <c r="J421" s="4">
        <v>5060</v>
      </c>
      <c r="K421" s="4">
        <v>4140</v>
      </c>
    </row>
    <row r="422" spans="1:11">
      <c r="A422" s="2" t="s">
        <v>290</v>
      </c>
      <c r="B422" s="3" t="s">
        <v>104</v>
      </c>
      <c r="C422" s="3" t="s">
        <v>96</v>
      </c>
      <c r="D422" s="3" t="s">
        <v>111</v>
      </c>
      <c r="E422" s="3">
        <v>33</v>
      </c>
      <c r="F422" s="3">
        <v>43</v>
      </c>
      <c r="G422" s="3">
        <v>90</v>
      </c>
      <c r="H422" s="3">
        <v>50</v>
      </c>
      <c r="I422" s="4">
        <v>3870</v>
      </c>
      <c r="J422" s="4">
        <v>2150</v>
      </c>
      <c r="K422" s="4">
        <v>1720</v>
      </c>
    </row>
    <row r="423" spans="1:11">
      <c r="A423" s="2" t="s">
        <v>232</v>
      </c>
      <c r="B423" s="3" t="s">
        <v>103</v>
      </c>
      <c r="C423" s="3" t="s">
        <v>94</v>
      </c>
      <c r="D423" s="3" t="s">
        <v>110</v>
      </c>
      <c r="E423" s="3">
        <v>25</v>
      </c>
      <c r="F423" s="3">
        <v>42</v>
      </c>
      <c r="G423" s="3">
        <v>80</v>
      </c>
      <c r="H423" s="3">
        <v>45</v>
      </c>
      <c r="I423" s="4">
        <v>3360</v>
      </c>
      <c r="J423" s="4">
        <v>1890</v>
      </c>
      <c r="K423" s="4">
        <v>1470</v>
      </c>
    </row>
    <row r="424" spans="1:11">
      <c r="A424" s="2" t="s">
        <v>385</v>
      </c>
      <c r="B424" s="3" t="s">
        <v>104</v>
      </c>
      <c r="C424" s="3" t="s">
        <v>93</v>
      </c>
      <c r="D424" s="3" t="s">
        <v>110</v>
      </c>
      <c r="E424" s="3">
        <v>26</v>
      </c>
      <c r="F424" s="3">
        <v>23</v>
      </c>
      <c r="G424" s="3">
        <v>100</v>
      </c>
      <c r="H424" s="3">
        <v>55</v>
      </c>
      <c r="I424" s="4">
        <v>2300</v>
      </c>
      <c r="J424" s="4">
        <v>1265</v>
      </c>
      <c r="K424" s="4">
        <v>1035</v>
      </c>
    </row>
    <row r="425" spans="1:11">
      <c r="A425" s="2" t="s">
        <v>373</v>
      </c>
      <c r="B425" s="3" t="s">
        <v>106</v>
      </c>
      <c r="C425" s="3" t="s">
        <v>94</v>
      </c>
      <c r="D425" s="3" t="s">
        <v>112</v>
      </c>
      <c r="E425" s="3">
        <v>33</v>
      </c>
      <c r="F425" s="3">
        <v>70</v>
      </c>
      <c r="G425" s="3">
        <v>80</v>
      </c>
      <c r="H425" s="3">
        <v>45</v>
      </c>
      <c r="I425" s="4">
        <v>5600</v>
      </c>
      <c r="J425" s="4">
        <v>3150</v>
      </c>
      <c r="K425" s="4">
        <v>2450</v>
      </c>
    </row>
    <row r="426" spans="1:11">
      <c r="A426" s="2" t="s">
        <v>386</v>
      </c>
      <c r="B426" s="3" t="s">
        <v>104</v>
      </c>
      <c r="C426" s="3" t="s">
        <v>96</v>
      </c>
      <c r="D426" s="3" t="s">
        <v>111</v>
      </c>
      <c r="E426" s="3">
        <v>34</v>
      </c>
      <c r="F426" s="3">
        <v>61</v>
      </c>
      <c r="G426" s="3">
        <v>90</v>
      </c>
      <c r="H426" s="3">
        <v>50</v>
      </c>
      <c r="I426" s="4">
        <v>5490</v>
      </c>
      <c r="J426" s="4">
        <v>3050</v>
      </c>
      <c r="K426" s="4">
        <v>2440</v>
      </c>
    </row>
    <row r="427" spans="1:11">
      <c r="A427" s="2" t="s">
        <v>308</v>
      </c>
      <c r="B427" s="3" t="s">
        <v>106</v>
      </c>
      <c r="C427" s="3" t="s">
        <v>97</v>
      </c>
      <c r="D427" s="3" t="s">
        <v>111</v>
      </c>
      <c r="E427" s="3">
        <v>29</v>
      </c>
      <c r="F427" s="3">
        <v>98</v>
      </c>
      <c r="G427" s="3">
        <v>130</v>
      </c>
      <c r="H427" s="3">
        <v>70</v>
      </c>
      <c r="I427" s="4">
        <v>12740</v>
      </c>
      <c r="J427" s="4">
        <v>6860</v>
      </c>
      <c r="K427" s="4">
        <v>5880</v>
      </c>
    </row>
    <row r="428" spans="1:11">
      <c r="A428" s="2" t="s">
        <v>289</v>
      </c>
      <c r="B428" s="3" t="s">
        <v>103</v>
      </c>
      <c r="C428" s="3" t="s">
        <v>96</v>
      </c>
      <c r="D428" s="3" t="s">
        <v>110</v>
      </c>
      <c r="E428" s="3">
        <v>21</v>
      </c>
      <c r="F428" s="3">
        <v>18</v>
      </c>
      <c r="G428" s="3">
        <v>90</v>
      </c>
      <c r="H428" s="3">
        <v>50</v>
      </c>
      <c r="I428" s="4">
        <v>1620</v>
      </c>
      <c r="J428" s="4">
        <v>900</v>
      </c>
      <c r="K428" s="4">
        <v>720</v>
      </c>
    </row>
    <row r="429" spans="1:11">
      <c r="A429" s="2" t="s">
        <v>315</v>
      </c>
      <c r="B429" s="3" t="s">
        <v>106</v>
      </c>
      <c r="C429" s="3" t="s">
        <v>98</v>
      </c>
      <c r="D429" s="3" t="s">
        <v>111</v>
      </c>
      <c r="E429" s="3">
        <v>32</v>
      </c>
      <c r="F429" s="3">
        <v>74</v>
      </c>
      <c r="G429" s="3">
        <v>100</v>
      </c>
      <c r="H429" s="3">
        <v>55</v>
      </c>
      <c r="I429" s="4">
        <v>7400</v>
      </c>
      <c r="J429" s="4">
        <v>4070</v>
      </c>
      <c r="K429" s="4">
        <v>3330</v>
      </c>
    </row>
    <row r="430" spans="1:11">
      <c r="A430" s="2" t="s">
        <v>387</v>
      </c>
      <c r="B430" s="3" t="s">
        <v>104</v>
      </c>
      <c r="C430" s="3" t="s">
        <v>97</v>
      </c>
      <c r="D430" s="3" t="s">
        <v>110</v>
      </c>
      <c r="E430" s="3">
        <v>27</v>
      </c>
      <c r="F430" s="3">
        <v>28</v>
      </c>
      <c r="G430" s="3">
        <v>130</v>
      </c>
      <c r="H430" s="3">
        <v>70</v>
      </c>
      <c r="I430" s="4">
        <v>3640</v>
      </c>
      <c r="J430" s="4">
        <v>1960</v>
      </c>
      <c r="K430" s="4">
        <v>1680</v>
      </c>
    </row>
    <row r="431" spans="1:11">
      <c r="A431" s="2" t="s">
        <v>385</v>
      </c>
      <c r="B431" s="3" t="s">
        <v>105</v>
      </c>
      <c r="C431" s="3" t="s">
        <v>93</v>
      </c>
      <c r="D431" s="3" t="s">
        <v>111</v>
      </c>
      <c r="E431" s="3">
        <v>26</v>
      </c>
      <c r="F431" s="3">
        <v>29</v>
      </c>
      <c r="G431" s="3">
        <v>100</v>
      </c>
      <c r="H431" s="3">
        <v>55</v>
      </c>
      <c r="I431" s="4">
        <v>2900</v>
      </c>
      <c r="J431" s="4">
        <v>1595</v>
      </c>
      <c r="K431" s="4">
        <v>1305</v>
      </c>
    </row>
    <row r="432" spans="1:11">
      <c r="A432" s="2" t="s">
        <v>388</v>
      </c>
      <c r="B432" s="3" t="s">
        <v>105</v>
      </c>
      <c r="C432" s="3" t="s">
        <v>96</v>
      </c>
      <c r="D432" s="3" t="s">
        <v>110</v>
      </c>
      <c r="E432" s="3">
        <v>37</v>
      </c>
      <c r="F432" s="3">
        <v>53</v>
      </c>
      <c r="G432" s="3">
        <v>90</v>
      </c>
      <c r="H432" s="3">
        <v>50</v>
      </c>
      <c r="I432" s="4">
        <v>4770</v>
      </c>
      <c r="J432" s="4">
        <v>2650</v>
      </c>
      <c r="K432" s="4">
        <v>2120</v>
      </c>
    </row>
    <row r="433" spans="1:11">
      <c r="A433" s="2" t="s">
        <v>205</v>
      </c>
      <c r="B433" s="3" t="s">
        <v>105</v>
      </c>
      <c r="C433" s="3" t="s">
        <v>93</v>
      </c>
      <c r="D433" s="3" t="s">
        <v>112</v>
      </c>
      <c r="E433" s="3">
        <v>38</v>
      </c>
      <c r="F433" s="3">
        <v>140</v>
      </c>
      <c r="G433" s="3">
        <v>100</v>
      </c>
      <c r="H433" s="3">
        <v>55</v>
      </c>
      <c r="I433" s="4">
        <v>14000</v>
      </c>
      <c r="J433" s="4">
        <v>7700</v>
      </c>
      <c r="K433" s="4">
        <v>6300</v>
      </c>
    </row>
    <row r="434" spans="1:11">
      <c r="A434" s="2" t="s">
        <v>389</v>
      </c>
      <c r="B434" s="3" t="s">
        <v>105</v>
      </c>
      <c r="C434" s="3" t="s">
        <v>96</v>
      </c>
      <c r="D434" s="3" t="s">
        <v>110</v>
      </c>
      <c r="E434" s="3">
        <v>19</v>
      </c>
      <c r="F434" s="3">
        <v>34</v>
      </c>
      <c r="G434" s="3">
        <v>90</v>
      </c>
      <c r="H434" s="3">
        <v>50</v>
      </c>
      <c r="I434" s="4">
        <v>3060</v>
      </c>
      <c r="J434" s="4">
        <v>1700</v>
      </c>
      <c r="K434" s="4">
        <v>1360</v>
      </c>
    </row>
    <row r="435" spans="1:11">
      <c r="A435" s="2" t="s">
        <v>231</v>
      </c>
      <c r="B435" s="3" t="s">
        <v>103</v>
      </c>
      <c r="C435" s="3" t="s">
        <v>93</v>
      </c>
      <c r="D435" s="3" t="s">
        <v>110</v>
      </c>
      <c r="E435" s="3">
        <v>41</v>
      </c>
      <c r="F435" s="3">
        <v>173</v>
      </c>
      <c r="G435" s="3">
        <v>100</v>
      </c>
      <c r="H435" s="3">
        <v>55</v>
      </c>
      <c r="I435" s="4">
        <v>17300</v>
      </c>
      <c r="J435" s="4">
        <v>9515</v>
      </c>
      <c r="K435" s="4">
        <v>7785</v>
      </c>
    </row>
    <row r="436" spans="1:11">
      <c r="A436" s="2" t="s">
        <v>390</v>
      </c>
      <c r="B436" s="3" t="s">
        <v>105</v>
      </c>
      <c r="C436" s="3" t="s">
        <v>93</v>
      </c>
      <c r="D436" s="3" t="s">
        <v>110</v>
      </c>
      <c r="E436" s="3">
        <v>39</v>
      </c>
      <c r="F436" s="3">
        <v>133</v>
      </c>
      <c r="G436" s="3">
        <v>100</v>
      </c>
      <c r="H436" s="3">
        <v>55</v>
      </c>
      <c r="I436" s="4">
        <v>13300</v>
      </c>
      <c r="J436" s="4">
        <v>7315</v>
      </c>
      <c r="K436" s="4">
        <v>5985</v>
      </c>
    </row>
    <row r="437" spans="1:11">
      <c r="A437" s="2" t="s">
        <v>257</v>
      </c>
      <c r="B437" s="3" t="s">
        <v>103</v>
      </c>
      <c r="C437" s="3" t="s">
        <v>96</v>
      </c>
      <c r="D437" s="3" t="s">
        <v>110</v>
      </c>
      <c r="E437" s="3">
        <v>35</v>
      </c>
      <c r="F437" s="3">
        <v>185</v>
      </c>
      <c r="G437" s="3">
        <v>90</v>
      </c>
      <c r="H437" s="3">
        <v>50</v>
      </c>
      <c r="I437" s="4">
        <v>16650</v>
      </c>
      <c r="J437" s="4">
        <v>9250</v>
      </c>
      <c r="K437" s="4">
        <v>7400</v>
      </c>
    </row>
    <row r="438" spans="1:11">
      <c r="A438" s="2" t="s">
        <v>391</v>
      </c>
      <c r="B438" s="3" t="s">
        <v>106</v>
      </c>
      <c r="C438" s="3" t="s">
        <v>93</v>
      </c>
      <c r="D438" s="3" t="s">
        <v>111</v>
      </c>
      <c r="E438" s="3">
        <v>23</v>
      </c>
      <c r="F438" s="3">
        <v>51</v>
      </c>
      <c r="G438" s="3">
        <v>100</v>
      </c>
      <c r="H438" s="3">
        <v>55</v>
      </c>
      <c r="I438" s="4">
        <v>5100</v>
      </c>
      <c r="J438" s="4">
        <v>2805</v>
      </c>
      <c r="K438" s="4">
        <v>2295</v>
      </c>
    </row>
    <row r="439" spans="1:11">
      <c r="A439" s="2" t="s">
        <v>159</v>
      </c>
      <c r="B439" s="3" t="s">
        <v>103</v>
      </c>
      <c r="C439" s="3" t="s">
        <v>93</v>
      </c>
      <c r="D439" s="3" t="s">
        <v>111</v>
      </c>
      <c r="E439" s="3">
        <v>28</v>
      </c>
      <c r="F439" s="3">
        <v>50</v>
      </c>
      <c r="G439" s="3">
        <v>100</v>
      </c>
      <c r="H439" s="3">
        <v>55</v>
      </c>
      <c r="I439" s="4">
        <v>5000</v>
      </c>
      <c r="J439" s="4">
        <v>2750</v>
      </c>
      <c r="K439" s="4">
        <v>2250</v>
      </c>
    </row>
    <row r="440" spans="1:11">
      <c r="A440" s="2" t="s">
        <v>392</v>
      </c>
      <c r="B440" s="3" t="s">
        <v>106</v>
      </c>
      <c r="C440" s="3" t="s">
        <v>96</v>
      </c>
      <c r="D440" s="3" t="s">
        <v>110</v>
      </c>
      <c r="E440" s="3">
        <v>28</v>
      </c>
      <c r="F440" s="3">
        <v>40</v>
      </c>
      <c r="G440" s="3">
        <v>90</v>
      </c>
      <c r="H440" s="3">
        <v>50</v>
      </c>
      <c r="I440" s="4">
        <v>3600</v>
      </c>
      <c r="J440" s="4">
        <v>2000</v>
      </c>
      <c r="K440" s="4">
        <v>1600</v>
      </c>
    </row>
    <row r="441" spans="1:11">
      <c r="A441" s="2" t="s">
        <v>343</v>
      </c>
      <c r="B441" s="3" t="s">
        <v>103</v>
      </c>
      <c r="C441" s="3" t="s">
        <v>97</v>
      </c>
      <c r="D441" s="3" t="s">
        <v>110</v>
      </c>
      <c r="E441" s="3">
        <v>25</v>
      </c>
      <c r="F441" s="3">
        <v>28</v>
      </c>
      <c r="G441" s="3">
        <v>130</v>
      </c>
      <c r="H441" s="3">
        <v>70</v>
      </c>
      <c r="I441" s="4">
        <v>3640</v>
      </c>
      <c r="J441" s="4">
        <v>1960</v>
      </c>
      <c r="K441" s="4">
        <v>1680</v>
      </c>
    </row>
    <row r="442" spans="1:11">
      <c r="A442" s="2" t="s">
        <v>356</v>
      </c>
      <c r="B442" s="3" t="s">
        <v>103</v>
      </c>
      <c r="C442" s="3" t="s">
        <v>96</v>
      </c>
      <c r="D442" s="3" t="s">
        <v>111</v>
      </c>
      <c r="E442" s="3">
        <v>41</v>
      </c>
      <c r="F442" s="3">
        <v>152</v>
      </c>
      <c r="G442" s="3">
        <v>90</v>
      </c>
      <c r="H442" s="3">
        <v>50</v>
      </c>
      <c r="I442" s="4">
        <v>13680</v>
      </c>
      <c r="J442" s="4">
        <v>7600</v>
      </c>
      <c r="K442" s="4">
        <v>6080</v>
      </c>
    </row>
    <row r="443" spans="1:11">
      <c r="A443" s="2" t="s">
        <v>304</v>
      </c>
      <c r="B443" s="3" t="s">
        <v>103</v>
      </c>
      <c r="C443" s="3" t="s">
        <v>98</v>
      </c>
      <c r="D443" s="3" t="s">
        <v>111</v>
      </c>
      <c r="E443" s="3">
        <v>24</v>
      </c>
      <c r="F443" s="3">
        <v>56</v>
      </c>
      <c r="G443" s="3">
        <v>100</v>
      </c>
      <c r="H443" s="3">
        <v>55</v>
      </c>
      <c r="I443" s="4">
        <v>5600</v>
      </c>
      <c r="J443" s="4">
        <v>3080</v>
      </c>
      <c r="K443" s="4">
        <v>2520</v>
      </c>
    </row>
    <row r="444" spans="1:11">
      <c r="A444" s="2" t="s">
        <v>257</v>
      </c>
      <c r="B444" s="3" t="s">
        <v>105</v>
      </c>
      <c r="C444" s="3" t="s">
        <v>96</v>
      </c>
      <c r="D444" s="3" t="s">
        <v>110</v>
      </c>
      <c r="E444" s="3">
        <v>35</v>
      </c>
      <c r="F444" s="3">
        <v>176</v>
      </c>
      <c r="G444" s="3">
        <v>90</v>
      </c>
      <c r="H444" s="3">
        <v>50</v>
      </c>
      <c r="I444" s="4">
        <v>15840</v>
      </c>
      <c r="J444" s="4">
        <v>8800</v>
      </c>
      <c r="K444" s="4">
        <v>7040</v>
      </c>
    </row>
    <row r="445" spans="1:11">
      <c r="A445" s="2" t="s">
        <v>219</v>
      </c>
      <c r="B445" s="3" t="s">
        <v>104</v>
      </c>
      <c r="C445" s="3" t="s">
        <v>94</v>
      </c>
      <c r="D445" s="3" t="s">
        <v>111</v>
      </c>
      <c r="E445" s="3">
        <v>32</v>
      </c>
      <c r="F445" s="3">
        <v>162</v>
      </c>
      <c r="G445" s="3">
        <v>80</v>
      </c>
      <c r="H445" s="3">
        <v>45</v>
      </c>
      <c r="I445" s="4">
        <v>12960</v>
      </c>
      <c r="J445" s="4">
        <v>7290</v>
      </c>
      <c r="K445" s="4">
        <v>5670</v>
      </c>
    </row>
    <row r="446" spans="1:11">
      <c r="A446" s="2" t="s">
        <v>387</v>
      </c>
      <c r="B446" s="3" t="s">
        <v>104</v>
      </c>
      <c r="C446" s="3" t="s">
        <v>94</v>
      </c>
      <c r="D446" s="3" t="s">
        <v>112</v>
      </c>
      <c r="E446" s="3">
        <v>26</v>
      </c>
      <c r="F446" s="3">
        <v>38</v>
      </c>
      <c r="G446" s="3">
        <v>80</v>
      </c>
      <c r="H446" s="3">
        <v>45</v>
      </c>
      <c r="I446" s="4">
        <v>3040</v>
      </c>
      <c r="J446" s="4">
        <v>1710</v>
      </c>
      <c r="K446" s="4">
        <v>1330</v>
      </c>
    </row>
    <row r="447" spans="1:11">
      <c r="A447" s="2" t="s">
        <v>143</v>
      </c>
      <c r="B447" s="3" t="s">
        <v>104</v>
      </c>
      <c r="C447" s="3" t="s">
        <v>93</v>
      </c>
      <c r="D447" s="3" t="s">
        <v>110</v>
      </c>
      <c r="E447" s="3">
        <v>31</v>
      </c>
      <c r="F447" s="3">
        <v>80</v>
      </c>
      <c r="G447" s="3">
        <v>100</v>
      </c>
      <c r="H447" s="3">
        <v>55</v>
      </c>
      <c r="I447" s="4">
        <v>8000</v>
      </c>
      <c r="J447" s="4">
        <v>4400</v>
      </c>
      <c r="K447" s="4">
        <v>3600</v>
      </c>
    </row>
    <row r="448" spans="1:11">
      <c r="A448" s="2" t="s">
        <v>148</v>
      </c>
      <c r="B448" s="3" t="s">
        <v>106</v>
      </c>
      <c r="C448" s="3" t="s">
        <v>96</v>
      </c>
      <c r="D448" s="3" t="s">
        <v>111</v>
      </c>
      <c r="E448" s="3">
        <v>30</v>
      </c>
      <c r="F448" s="3">
        <v>56</v>
      </c>
      <c r="G448" s="3">
        <v>90</v>
      </c>
      <c r="H448" s="3">
        <v>50</v>
      </c>
      <c r="I448" s="4">
        <v>5040</v>
      </c>
      <c r="J448" s="4">
        <v>2800</v>
      </c>
      <c r="K448" s="4">
        <v>2240</v>
      </c>
    </row>
    <row r="449" spans="1:11">
      <c r="A449" s="2" t="s">
        <v>169</v>
      </c>
      <c r="B449" s="3" t="s">
        <v>106</v>
      </c>
      <c r="C449" s="3" t="s">
        <v>96</v>
      </c>
      <c r="D449" s="3" t="s">
        <v>112</v>
      </c>
      <c r="E449" s="3">
        <v>18</v>
      </c>
      <c r="F449" s="3">
        <v>11</v>
      </c>
      <c r="G449" s="3">
        <v>90</v>
      </c>
      <c r="H449" s="3">
        <v>50</v>
      </c>
      <c r="I449" s="4">
        <v>990</v>
      </c>
      <c r="J449" s="4">
        <v>550</v>
      </c>
      <c r="K449" s="4">
        <v>440</v>
      </c>
    </row>
    <row r="450" spans="1:11">
      <c r="A450" s="2" t="s">
        <v>363</v>
      </c>
      <c r="B450" s="3" t="s">
        <v>104</v>
      </c>
      <c r="C450" s="3" t="s">
        <v>93</v>
      </c>
      <c r="D450" s="3" t="s">
        <v>111</v>
      </c>
      <c r="E450" s="3">
        <v>26</v>
      </c>
      <c r="F450" s="3">
        <v>91</v>
      </c>
      <c r="G450" s="3">
        <v>100</v>
      </c>
      <c r="H450" s="3">
        <v>55</v>
      </c>
      <c r="I450" s="4">
        <v>9100</v>
      </c>
      <c r="J450" s="4">
        <v>5005</v>
      </c>
      <c r="K450" s="4">
        <v>4095</v>
      </c>
    </row>
    <row r="451" spans="1:11">
      <c r="A451" s="2" t="s">
        <v>386</v>
      </c>
      <c r="B451" s="3" t="s">
        <v>105</v>
      </c>
      <c r="C451" s="3" t="s">
        <v>93</v>
      </c>
      <c r="D451" s="3" t="s">
        <v>111</v>
      </c>
      <c r="E451" s="3">
        <v>36</v>
      </c>
      <c r="F451" s="3">
        <v>77</v>
      </c>
      <c r="G451" s="3">
        <v>100</v>
      </c>
      <c r="H451" s="3">
        <v>55</v>
      </c>
      <c r="I451" s="4">
        <v>7700</v>
      </c>
      <c r="J451" s="4">
        <v>4235</v>
      </c>
      <c r="K451" s="4">
        <v>3465</v>
      </c>
    </row>
    <row r="452" spans="1:11">
      <c r="A452" s="2" t="s">
        <v>331</v>
      </c>
      <c r="B452" s="3" t="s">
        <v>105</v>
      </c>
      <c r="C452" s="3" t="s">
        <v>93</v>
      </c>
      <c r="D452" s="3" t="s">
        <v>110</v>
      </c>
      <c r="E452" s="3">
        <v>33</v>
      </c>
      <c r="F452" s="3">
        <v>171</v>
      </c>
      <c r="G452" s="3">
        <v>100</v>
      </c>
      <c r="H452" s="3">
        <v>55</v>
      </c>
      <c r="I452" s="4">
        <v>17100</v>
      </c>
      <c r="J452" s="4">
        <v>9405</v>
      </c>
      <c r="K452" s="4">
        <v>7695</v>
      </c>
    </row>
    <row r="453" spans="1:11">
      <c r="A453" s="2" t="s">
        <v>223</v>
      </c>
      <c r="B453" s="3" t="s">
        <v>106</v>
      </c>
      <c r="C453" s="3" t="s">
        <v>98</v>
      </c>
      <c r="D453" s="3" t="s">
        <v>112</v>
      </c>
      <c r="E453" s="3">
        <v>32</v>
      </c>
      <c r="F453" s="3">
        <v>92</v>
      </c>
      <c r="G453" s="3">
        <v>100</v>
      </c>
      <c r="H453" s="3">
        <v>55</v>
      </c>
      <c r="I453" s="4">
        <v>9200</v>
      </c>
      <c r="J453" s="4">
        <v>5060</v>
      </c>
      <c r="K453" s="4">
        <v>4140</v>
      </c>
    </row>
    <row r="454" spans="1:11">
      <c r="A454" s="2" t="s">
        <v>230</v>
      </c>
      <c r="B454" s="3" t="s">
        <v>103</v>
      </c>
      <c r="C454" s="3" t="s">
        <v>98</v>
      </c>
      <c r="D454" s="3" t="s">
        <v>110</v>
      </c>
      <c r="E454" s="3">
        <v>18</v>
      </c>
      <c r="F454" s="3">
        <v>45</v>
      </c>
      <c r="G454" s="3">
        <v>100</v>
      </c>
      <c r="H454" s="3">
        <v>55</v>
      </c>
      <c r="I454" s="4">
        <v>4500</v>
      </c>
      <c r="J454" s="4">
        <v>2475</v>
      </c>
      <c r="K454" s="4">
        <v>2025</v>
      </c>
    </row>
    <row r="455" spans="1:11">
      <c r="A455" s="2" t="s">
        <v>210</v>
      </c>
      <c r="B455" s="3" t="s">
        <v>103</v>
      </c>
      <c r="C455" s="3" t="s">
        <v>96</v>
      </c>
      <c r="D455" s="3" t="s">
        <v>111</v>
      </c>
      <c r="E455" s="3">
        <v>32</v>
      </c>
      <c r="F455" s="3">
        <v>105</v>
      </c>
      <c r="G455" s="3">
        <v>90</v>
      </c>
      <c r="H455" s="3">
        <v>50</v>
      </c>
      <c r="I455" s="4">
        <v>9450</v>
      </c>
      <c r="J455" s="4">
        <v>5250</v>
      </c>
      <c r="K455" s="4">
        <v>4200</v>
      </c>
    </row>
    <row r="456" spans="1:11">
      <c r="A456" s="2" t="s">
        <v>393</v>
      </c>
      <c r="B456" s="3" t="s">
        <v>103</v>
      </c>
      <c r="C456" s="3" t="s">
        <v>97</v>
      </c>
      <c r="D456" s="3" t="s">
        <v>111</v>
      </c>
      <c r="E456" s="3">
        <v>28</v>
      </c>
      <c r="F456" s="3">
        <v>47</v>
      </c>
      <c r="G456" s="3">
        <v>130</v>
      </c>
      <c r="H456" s="3">
        <v>70</v>
      </c>
      <c r="I456" s="4">
        <v>6110</v>
      </c>
      <c r="J456" s="4">
        <v>3290</v>
      </c>
      <c r="K456" s="4">
        <v>2820</v>
      </c>
    </row>
    <row r="457" spans="1:11">
      <c r="A457" s="2" t="s">
        <v>394</v>
      </c>
      <c r="B457" s="3" t="s">
        <v>103</v>
      </c>
      <c r="C457" s="3" t="s">
        <v>96</v>
      </c>
      <c r="D457" s="3" t="s">
        <v>111</v>
      </c>
      <c r="E457" s="3">
        <v>33</v>
      </c>
      <c r="F457" s="3">
        <v>185</v>
      </c>
      <c r="G457" s="3">
        <v>90</v>
      </c>
      <c r="H457" s="3">
        <v>50</v>
      </c>
      <c r="I457" s="4">
        <v>16650</v>
      </c>
      <c r="J457" s="4">
        <v>9250</v>
      </c>
      <c r="K457" s="4">
        <v>7400</v>
      </c>
    </row>
    <row r="458" spans="1:11">
      <c r="A458" s="2" t="s">
        <v>278</v>
      </c>
      <c r="B458" s="3" t="s">
        <v>106</v>
      </c>
      <c r="C458" s="3" t="s">
        <v>94</v>
      </c>
      <c r="D458" s="3" t="s">
        <v>110</v>
      </c>
      <c r="E458" s="3">
        <v>32</v>
      </c>
      <c r="F458" s="3">
        <v>181</v>
      </c>
      <c r="G458" s="3">
        <v>80</v>
      </c>
      <c r="H458" s="3">
        <v>45</v>
      </c>
      <c r="I458" s="4">
        <v>14480</v>
      </c>
      <c r="J458" s="4">
        <v>8145</v>
      </c>
      <c r="K458" s="4">
        <v>6335</v>
      </c>
    </row>
    <row r="459" spans="1:11">
      <c r="A459" s="2" t="s">
        <v>188</v>
      </c>
      <c r="B459" s="3" t="s">
        <v>103</v>
      </c>
      <c r="C459" s="3" t="s">
        <v>97</v>
      </c>
      <c r="D459" s="3" t="s">
        <v>112</v>
      </c>
      <c r="E459" s="3">
        <v>21</v>
      </c>
      <c r="F459" s="3">
        <v>12</v>
      </c>
      <c r="G459" s="3">
        <v>130</v>
      </c>
      <c r="H459" s="3">
        <v>70</v>
      </c>
      <c r="I459" s="4">
        <v>1560</v>
      </c>
      <c r="J459" s="4">
        <v>840</v>
      </c>
      <c r="K459" s="4">
        <v>720</v>
      </c>
    </row>
    <row r="460" spans="1:11">
      <c r="A460" s="2" t="s">
        <v>256</v>
      </c>
      <c r="B460" s="3" t="s">
        <v>103</v>
      </c>
      <c r="C460" s="3" t="s">
        <v>94</v>
      </c>
      <c r="D460" s="3" t="s">
        <v>110</v>
      </c>
      <c r="E460" s="3">
        <v>33</v>
      </c>
      <c r="F460" s="3">
        <v>100</v>
      </c>
      <c r="G460" s="3">
        <v>80</v>
      </c>
      <c r="H460" s="3">
        <v>45</v>
      </c>
      <c r="I460" s="4">
        <v>8000</v>
      </c>
      <c r="J460" s="4">
        <v>4500</v>
      </c>
      <c r="K460" s="4">
        <v>3500</v>
      </c>
    </row>
    <row r="461" spans="1:11">
      <c r="A461" s="2" t="s">
        <v>292</v>
      </c>
      <c r="B461" s="3" t="s">
        <v>104</v>
      </c>
      <c r="C461" s="3" t="s">
        <v>95</v>
      </c>
      <c r="D461" s="3" t="s">
        <v>110</v>
      </c>
      <c r="E461" s="3">
        <v>30</v>
      </c>
      <c r="F461" s="3">
        <v>66</v>
      </c>
      <c r="G461" s="3">
        <v>110</v>
      </c>
      <c r="H461" s="3">
        <v>60</v>
      </c>
      <c r="I461" s="4">
        <v>7260</v>
      </c>
      <c r="J461" s="4">
        <v>3960</v>
      </c>
      <c r="K461" s="4">
        <v>3300</v>
      </c>
    </row>
    <row r="462" spans="1:11">
      <c r="A462" s="2" t="s">
        <v>315</v>
      </c>
      <c r="B462" s="3" t="s">
        <v>105</v>
      </c>
      <c r="C462" s="3" t="s">
        <v>98</v>
      </c>
      <c r="D462" s="3" t="s">
        <v>111</v>
      </c>
      <c r="E462" s="3">
        <v>29</v>
      </c>
      <c r="F462" s="3">
        <v>58</v>
      </c>
      <c r="G462" s="3">
        <v>100</v>
      </c>
      <c r="H462" s="3">
        <v>55</v>
      </c>
      <c r="I462" s="4">
        <v>5800</v>
      </c>
      <c r="J462" s="4">
        <v>3190</v>
      </c>
      <c r="K462" s="4">
        <v>2610</v>
      </c>
    </row>
    <row r="463" spans="1:11">
      <c r="A463" s="2" t="s">
        <v>356</v>
      </c>
      <c r="B463" s="3" t="s">
        <v>105</v>
      </c>
      <c r="C463" s="3" t="s">
        <v>97</v>
      </c>
      <c r="D463" s="3" t="s">
        <v>112</v>
      </c>
      <c r="E463" s="3">
        <v>33</v>
      </c>
      <c r="F463" s="3">
        <v>98</v>
      </c>
      <c r="G463" s="3">
        <v>130</v>
      </c>
      <c r="H463" s="3">
        <v>70</v>
      </c>
      <c r="I463" s="4">
        <v>12740</v>
      </c>
      <c r="J463" s="4">
        <v>6860</v>
      </c>
      <c r="K463" s="4">
        <v>5880</v>
      </c>
    </row>
    <row r="464" spans="1:11">
      <c r="A464" s="2" t="s">
        <v>188</v>
      </c>
      <c r="B464" s="3" t="s">
        <v>106</v>
      </c>
      <c r="C464" s="3" t="s">
        <v>95</v>
      </c>
      <c r="D464" s="3" t="s">
        <v>110</v>
      </c>
      <c r="E464" s="3">
        <v>19</v>
      </c>
      <c r="F464" s="3">
        <v>51</v>
      </c>
      <c r="G464" s="3">
        <v>110</v>
      </c>
      <c r="H464" s="3">
        <v>60</v>
      </c>
      <c r="I464" s="4">
        <v>5610</v>
      </c>
      <c r="J464" s="4">
        <v>3060</v>
      </c>
      <c r="K464" s="4">
        <v>2550</v>
      </c>
    </row>
    <row r="465" spans="1:11">
      <c r="A465" s="2" t="s">
        <v>356</v>
      </c>
      <c r="B465" s="3" t="s">
        <v>103</v>
      </c>
      <c r="C465" s="3" t="s">
        <v>94</v>
      </c>
      <c r="D465" s="3" t="s">
        <v>110</v>
      </c>
      <c r="E465" s="3">
        <v>38</v>
      </c>
      <c r="F465" s="3">
        <v>70</v>
      </c>
      <c r="G465" s="3">
        <v>80</v>
      </c>
      <c r="H465" s="3">
        <v>45</v>
      </c>
      <c r="I465" s="4">
        <v>5600</v>
      </c>
      <c r="J465" s="4">
        <v>3150</v>
      </c>
      <c r="K465" s="4">
        <v>2450</v>
      </c>
    </row>
    <row r="466" spans="1:11">
      <c r="A466" s="2" t="s">
        <v>251</v>
      </c>
      <c r="B466" s="3" t="s">
        <v>104</v>
      </c>
      <c r="C466" s="3" t="s">
        <v>93</v>
      </c>
      <c r="D466" s="3" t="s">
        <v>110</v>
      </c>
      <c r="E466" s="3">
        <v>19</v>
      </c>
      <c r="F466" s="3">
        <v>44</v>
      </c>
      <c r="G466" s="3">
        <v>100</v>
      </c>
      <c r="H466" s="3">
        <v>55</v>
      </c>
      <c r="I466" s="4">
        <v>4400</v>
      </c>
      <c r="J466" s="4">
        <v>2420</v>
      </c>
      <c r="K466" s="4">
        <v>1980</v>
      </c>
    </row>
    <row r="467" spans="1:11">
      <c r="A467" s="2" t="s">
        <v>395</v>
      </c>
      <c r="B467" s="3" t="s">
        <v>105</v>
      </c>
      <c r="C467" s="3" t="s">
        <v>94</v>
      </c>
      <c r="D467" s="3" t="s">
        <v>111</v>
      </c>
      <c r="E467" s="3">
        <v>39</v>
      </c>
      <c r="F467" s="3">
        <v>131</v>
      </c>
      <c r="G467" s="3">
        <v>80</v>
      </c>
      <c r="H467" s="3">
        <v>45</v>
      </c>
      <c r="I467" s="4">
        <v>10480</v>
      </c>
      <c r="J467" s="4">
        <v>5895</v>
      </c>
      <c r="K467" s="4">
        <v>4585</v>
      </c>
    </row>
    <row r="468" spans="1:11">
      <c r="A468" s="2" t="s">
        <v>234</v>
      </c>
      <c r="B468" s="3" t="s">
        <v>105</v>
      </c>
      <c r="C468" s="3" t="s">
        <v>96</v>
      </c>
      <c r="D468" s="3" t="s">
        <v>110</v>
      </c>
      <c r="E468" s="3">
        <v>30</v>
      </c>
      <c r="F468" s="3">
        <v>37</v>
      </c>
      <c r="G468" s="3">
        <v>90</v>
      </c>
      <c r="H468" s="3">
        <v>50</v>
      </c>
      <c r="I468" s="4">
        <v>3330</v>
      </c>
      <c r="J468" s="4">
        <v>1850</v>
      </c>
      <c r="K468" s="4">
        <v>1480</v>
      </c>
    </row>
    <row r="469" spans="1:11">
      <c r="A469" s="2" t="s">
        <v>396</v>
      </c>
      <c r="B469" s="3" t="s">
        <v>106</v>
      </c>
      <c r="C469" s="3" t="s">
        <v>95</v>
      </c>
      <c r="D469" s="3" t="s">
        <v>110</v>
      </c>
      <c r="E469" s="3">
        <v>36</v>
      </c>
      <c r="F469" s="3">
        <v>140</v>
      </c>
      <c r="G469" s="3">
        <v>110</v>
      </c>
      <c r="H469" s="3">
        <v>60</v>
      </c>
      <c r="I469" s="4">
        <v>15400</v>
      </c>
      <c r="J469" s="4">
        <v>8400</v>
      </c>
      <c r="K469" s="4">
        <v>7000</v>
      </c>
    </row>
    <row r="470" spans="1:11">
      <c r="A470" s="2" t="s">
        <v>342</v>
      </c>
      <c r="B470" s="3" t="s">
        <v>104</v>
      </c>
      <c r="C470" s="3" t="s">
        <v>95</v>
      </c>
      <c r="D470" s="3" t="s">
        <v>112</v>
      </c>
      <c r="E470" s="3">
        <v>23</v>
      </c>
      <c r="F470" s="3">
        <v>30</v>
      </c>
      <c r="G470" s="3">
        <v>110</v>
      </c>
      <c r="H470" s="3">
        <v>60</v>
      </c>
      <c r="I470" s="4">
        <v>3300</v>
      </c>
      <c r="J470" s="4">
        <v>1800</v>
      </c>
      <c r="K470" s="4">
        <v>1500</v>
      </c>
    </row>
    <row r="471" spans="1:11">
      <c r="A471" s="2" t="s">
        <v>326</v>
      </c>
      <c r="B471" s="3" t="s">
        <v>103</v>
      </c>
      <c r="C471" s="3" t="s">
        <v>95</v>
      </c>
      <c r="D471" s="3" t="s">
        <v>112</v>
      </c>
      <c r="E471" s="3">
        <v>23</v>
      </c>
      <c r="F471" s="3">
        <v>21</v>
      </c>
      <c r="G471" s="3">
        <v>110</v>
      </c>
      <c r="H471" s="3">
        <v>60</v>
      </c>
      <c r="I471" s="4">
        <v>2310</v>
      </c>
      <c r="J471" s="4">
        <v>1260</v>
      </c>
      <c r="K471" s="4">
        <v>1050</v>
      </c>
    </row>
    <row r="472" spans="1:11">
      <c r="A472" s="2" t="s">
        <v>374</v>
      </c>
      <c r="B472" s="3" t="s">
        <v>104</v>
      </c>
      <c r="C472" s="3" t="s">
        <v>97</v>
      </c>
      <c r="D472" s="3" t="s">
        <v>110</v>
      </c>
      <c r="E472" s="3">
        <v>23</v>
      </c>
      <c r="F472" s="3">
        <v>41</v>
      </c>
      <c r="G472" s="3">
        <v>130</v>
      </c>
      <c r="H472" s="3">
        <v>70</v>
      </c>
      <c r="I472" s="4">
        <v>5330</v>
      </c>
      <c r="J472" s="4">
        <v>2870</v>
      </c>
      <c r="K472" s="4">
        <v>2460</v>
      </c>
    </row>
    <row r="473" spans="1:11">
      <c r="A473" s="2" t="s">
        <v>350</v>
      </c>
      <c r="B473" s="3" t="s">
        <v>103</v>
      </c>
      <c r="C473" s="3" t="s">
        <v>93</v>
      </c>
      <c r="D473" s="3" t="s">
        <v>110</v>
      </c>
      <c r="E473" s="3">
        <v>34</v>
      </c>
      <c r="F473" s="3">
        <v>52</v>
      </c>
      <c r="G473" s="3">
        <v>100</v>
      </c>
      <c r="H473" s="3">
        <v>55</v>
      </c>
      <c r="I473" s="4">
        <v>5200</v>
      </c>
      <c r="J473" s="4">
        <v>2860</v>
      </c>
      <c r="K473" s="4">
        <v>2340</v>
      </c>
    </row>
    <row r="474" spans="1:11">
      <c r="A474" s="2" t="s">
        <v>336</v>
      </c>
      <c r="B474" s="3" t="s">
        <v>106</v>
      </c>
      <c r="C474" s="3" t="s">
        <v>95</v>
      </c>
      <c r="D474" s="3" t="s">
        <v>110</v>
      </c>
      <c r="E474" s="3">
        <v>29</v>
      </c>
      <c r="F474" s="3">
        <v>80</v>
      </c>
      <c r="G474" s="3">
        <v>110</v>
      </c>
      <c r="H474" s="3">
        <v>60</v>
      </c>
      <c r="I474" s="4">
        <v>8800</v>
      </c>
      <c r="J474" s="4">
        <v>4800</v>
      </c>
      <c r="K474" s="4">
        <v>4000</v>
      </c>
    </row>
    <row r="475" spans="1:11">
      <c r="A475" s="2" t="s">
        <v>188</v>
      </c>
      <c r="B475" s="3" t="s">
        <v>106</v>
      </c>
      <c r="C475" s="3" t="s">
        <v>93</v>
      </c>
      <c r="D475" s="3" t="s">
        <v>110</v>
      </c>
      <c r="E475" s="3">
        <v>18</v>
      </c>
      <c r="F475" s="3">
        <v>54</v>
      </c>
      <c r="G475" s="3">
        <v>100</v>
      </c>
      <c r="H475" s="3">
        <v>55</v>
      </c>
      <c r="I475" s="4">
        <v>5400</v>
      </c>
      <c r="J475" s="4">
        <v>2970</v>
      </c>
      <c r="K475" s="4">
        <v>2430</v>
      </c>
    </row>
    <row r="476" spans="1:11">
      <c r="A476" s="2" t="s">
        <v>301</v>
      </c>
      <c r="B476" s="3" t="s">
        <v>106</v>
      </c>
      <c r="C476" s="3" t="s">
        <v>98</v>
      </c>
      <c r="D476" s="3" t="s">
        <v>110</v>
      </c>
      <c r="E476" s="3">
        <v>20</v>
      </c>
      <c r="F476" s="3">
        <v>47</v>
      </c>
      <c r="G476" s="3">
        <v>100</v>
      </c>
      <c r="H476" s="3">
        <v>55</v>
      </c>
      <c r="I476" s="4">
        <v>4700</v>
      </c>
      <c r="J476" s="4">
        <v>2585</v>
      </c>
      <c r="K476" s="4">
        <v>2115</v>
      </c>
    </row>
    <row r="477" spans="1:11">
      <c r="A477" s="2" t="s">
        <v>381</v>
      </c>
      <c r="B477" s="3" t="s">
        <v>105</v>
      </c>
      <c r="C477" s="3" t="s">
        <v>96</v>
      </c>
      <c r="D477" s="3" t="s">
        <v>112</v>
      </c>
      <c r="E477" s="3">
        <v>19</v>
      </c>
      <c r="F477" s="3">
        <v>25</v>
      </c>
      <c r="G477" s="3">
        <v>90</v>
      </c>
      <c r="H477" s="3">
        <v>50</v>
      </c>
      <c r="I477" s="4">
        <v>2250</v>
      </c>
      <c r="J477" s="4">
        <v>1250</v>
      </c>
      <c r="K477" s="4">
        <v>1000</v>
      </c>
    </row>
    <row r="478" spans="1:11">
      <c r="A478" s="2" t="s">
        <v>175</v>
      </c>
      <c r="B478" s="3" t="s">
        <v>105</v>
      </c>
      <c r="C478" s="3" t="s">
        <v>95</v>
      </c>
      <c r="D478" s="3" t="s">
        <v>111</v>
      </c>
      <c r="E478" s="3">
        <v>22</v>
      </c>
      <c r="F478" s="3">
        <v>51</v>
      </c>
      <c r="G478" s="3">
        <v>110</v>
      </c>
      <c r="H478" s="3">
        <v>60</v>
      </c>
      <c r="I478" s="4">
        <v>5610</v>
      </c>
      <c r="J478" s="4">
        <v>3060</v>
      </c>
      <c r="K478" s="4">
        <v>2550</v>
      </c>
    </row>
    <row r="479" spans="1:11">
      <c r="A479" s="2" t="s">
        <v>195</v>
      </c>
      <c r="B479" s="3" t="s">
        <v>103</v>
      </c>
      <c r="C479" s="3" t="s">
        <v>98</v>
      </c>
      <c r="D479" s="3" t="s">
        <v>110</v>
      </c>
      <c r="E479" s="3">
        <v>28</v>
      </c>
      <c r="F479" s="3">
        <v>86</v>
      </c>
      <c r="G479" s="3">
        <v>100</v>
      </c>
      <c r="H479" s="3">
        <v>55</v>
      </c>
      <c r="I479" s="4">
        <v>8600</v>
      </c>
      <c r="J479" s="4">
        <v>4730</v>
      </c>
      <c r="K479" s="4">
        <v>3870</v>
      </c>
    </row>
    <row r="480" spans="1:11">
      <c r="A480" s="2" t="s">
        <v>335</v>
      </c>
      <c r="B480" s="3" t="s">
        <v>106</v>
      </c>
      <c r="C480" s="3" t="s">
        <v>94</v>
      </c>
      <c r="D480" s="3" t="s">
        <v>110</v>
      </c>
      <c r="E480" s="3">
        <v>24</v>
      </c>
      <c r="F480" s="3">
        <v>39</v>
      </c>
      <c r="G480" s="3">
        <v>80</v>
      </c>
      <c r="H480" s="3">
        <v>45</v>
      </c>
      <c r="I480" s="4">
        <v>3120</v>
      </c>
      <c r="J480" s="4">
        <v>1755</v>
      </c>
      <c r="K480" s="4">
        <v>1365</v>
      </c>
    </row>
    <row r="481" spans="1:11">
      <c r="A481" s="2" t="s">
        <v>397</v>
      </c>
      <c r="B481" s="3" t="s">
        <v>106</v>
      </c>
      <c r="C481" s="3" t="s">
        <v>95</v>
      </c>
      <c r="D481" s="3" t="s">
        <v>111</v>
      </c>
      <c r="E481" s="3">
        <v>39</v>
      </c>
      <c r="F481" s="3">
        <v>86</v>
      </c>
      <c r="G481" s="3">
        <v>110</v>
      </c>
      <c r="H481" s="3">
        <v>60</v>
      </c>
      <c r="I481" s="4">
        <v>9460</v>
      </c>
      <c r="J481" s="4">
        <v>5160</v>
      </c>
      <c r="K481" s="4">
        <v>4300</v>
      </c>
    </row>
    <row r="482" spans="1:11">
      <c r="A482" s="2" t="s">
        <v>332</v>
      </c>
      <c r="B482" s="3" t="s">
        <v>105</v>
      </c>
      <c r="C482" s="3" t="s">
        <v>95</v>
      </c>
      <c r="D482" s="3" t="s">
        <v>111</v>
      </c>
      <c r="E482" s="3">
        <v>33</v>
      </c>
      <c r="F482" s="3">
        <v>84</v>
      </c>
      <c r="G482" s="3">
        <v>110</v>
      </c>
      <c r="H482" s="3">
        <v>60</v>
      </c>
      <c r="I482" s="4">
        <v>9240</v>
      </c>
      <c r="J482" s="4">
        <v>5040</v>
      </c>
      <c r="K482" s="4">
        <v>4200</v>
      </c>
    </row>
    <row r="483" spans="1:11">
      <c r="A483" s="2" t="s">
        <v>398</v>
      </c>
      <c r="B483" s="3" t="s">
        <v>104</v>
      </c>
      <c r="C483" s="3" t="s">
        <v>94</v>
      </c>
      <c r="D483" s="3" t="s">
        <v>110</v>
      </c>
      <c r="E483" s="3">
        <v>31</v>
      </c>
      <c r="F483" s="3">
        <v>33</v>
      </c>
      <c r="G483" s="3">
        <v>80</v>
      </c>
      <c r="H483" s="3">
        <v>45</v>
      </c>
      <c r="I483" s="4">
        <v>2640</v>
      </c>
      <c r="J483" s="4">
        <v>1485</v>
      </c>
      <c r="K483" s="4">
        <v>1155</v>
      </c>
    </row>
    <row r="484" spans="1:11">
      <c r="A484" s="2" t="s">
        <v>226</v>
      </c>
      <c r="B484" s="3" t="s">
        <v>103</v>
      </c>
      <c r="C484" s="3" t="s">
        <v>93</v>
      </c>
      <c r="D484" s="3" t="s">
        <v>111</v>
      </c>
      <c r="E484" s="3">
        <v>34</v>
      </c>
      <c r="F484" s="3">
        <v>83</v>
      </c>
      <c r="G484" s="3">
        <v>100</v>
      </c>
      <c r="H484" s="3">
        <v>55</v>
      </c>
      <c r="I484" s="4">
        <v>8300</v>
      </c>
      <c r="J484" s="4">
        <v>4565</v>
      </c>
      <c r="K484" s="4">
        <v>3735</v>
      </c>
    </row>
    <row r="485" spans="1:11">
      <c r="A485" s="2" t="s">
        <v>399</v>
      </c>
      <c r="B485" s="3" t="s">
        <v>105</v>
      </c>
      <c r="C485" s="3" t="s">
        <v>98</v>
      </c>
      <c r="D485" s="3" t="s">
        <v>110</v>
      </c>
      <c r="E485" s="3">
        <v>37</v>
      </c>
      <c r="F485" s="3">
        <v>173</v>
      </c>
      <c r="G485" s="3">
        <v>100</v>
      </c>
      <c r="H485" s="3">
        <v>55</v>
      </c>
      <c r="I485" s="4">
        <v>17300</v>
      </c>
      <c r="J485" s="4">
        <v>9515</v>
      </c>
      <c r="K485" s="4">
        <v>7785</v>
      </c>
    </row>
    <row r="486" spans="1:11">
      <c r="A486" s="2" t="s">
        <v>294</v>
      </c>
      <c r="B486" s="3" t="s">
        <v>105</v>
      </c>
      <c r="C486" s="3" t="s">
        <v>94</v>
      </c>
      <c r="D486" s="3" t="s">
        <v>111</v>
      </c>
      <c r="E486" s="3">
        <v>27</v>
      </c>
      <c r="F486" s="3">
        <v>60</v>
      </c>
      <c r="G486" s="3">
        <v>80</v>
      </c>
      <c r="H486" s="3">
        <v>45</v>
      </c>
      <c r="I486" s="4">
        <v>4800</v>
      </c>
      <c r="J486" s="4">
        <v>2700</v>
      </c>
      <c r="K486" s="4">
        <v>2100</v>
      </c>
    </row>
    <row r="487" spans="1:11">
      <c r="A487" s="2" t="s">
        <v>286</v>
      </c>
      <c r="B487" s="3" t="s">
        <v>103</v>
      </c>
      <c r="C487" s="3" t="s">
        <v>93</v>
      </c>
      <c r="D487" s="3" t="s">
        <v>110</v>
      </c>
      <c r="E487" s="3">
        <v>31</v>
      </c>
      <c r="F487" s="3">
        <v>84</v>
      </c>
      <c r="G487" s="3">
        <v>100</v>
      </c>
      <c r="H487" s="3">
        <v>55</v>
      </c>
      <c r="I487" s="4">
        <v>8400</v>
      </c>
      <c r="J487" s="4">
        <v>4620</v>
      </c>
      <c r="K487" s="4">
        <v>3780</v>
      </c>
    </row>
    <row r="488" spans="1:11">
      <c r="A488" s="2" t="s">
        <v>313</v>
      </c>
      <c r="B488" s="3" t="s">
        <v>106</v>
      </c>
      <c r="C488" s="3" t="s">
        <v>96</v>
      </c>
      <c r="D488" s="3" t="s">
        <v>111</v>
      </c>
      <c r="E488" s="3">
        <v>30</v>
      </c>
      <c r="F488" s="3">
        <v>59</v>
      </c>
      <c r="G488" s="3">
        <v>90</v>
      </c>
      <c r="H488" s="3">
        <v>50</v>
      </c>
      <c r="I488" s="4">
        <v>5310</v>
      </c>
      <c r="J488" s="4">
        <v>2950</v>
      </c>
      <c r="K488" s="4">
        <v>2360</v>
      </c>
    </row>
    <row r="489" spans="1:11">
      <c r="A489" s="2" t="s">
        <v>293</v>
      </c>
      <c r="B489" s="3" t="s">
        <v>104</v>
      </c>
      <c r="C489" s="3" t="s">
        <v>96</v>
      </c>
      <c r="D489" s="3" t="s">
        <v>111</v>
      </c>
      <c r="E489" s="3">
        <v>26</v>
      </c>
      <c r="F489" s="3">
        <v>60</v>
      </c>
      <c r="G489" s="3">
        <v>90</v>
      </c>
      <c r="H489" s="3">
        <v>50</v>
      </c>
      <c r="I489" s="4">
        <v>5400</v>
      </c>
      <c r="J489" s="4">
        <v>3000</v>
      </c>
      <c r="K489" s="4">
        <v>2400</v>
      </c>
    </row>
    <row r="490" spans="1:11">
      <c r="A490" s="2" t="s">
        <v>350</v>
      </c>
      <c r="B490" s="3" t="s">
        <v>104</v>
      </c>
      <c r="C490" s="3" t="s">
        <v>96</v>
      </c>
      <c r="D490" s="3" t="s">
        <v>111</v>
      </c>
      <c r="E490" s="3">
        <v>31</v>
      </c>
      <c r="F490" s="3">
        <v>101</v>
      </c>
      <c r="G490" s="3">
        <v>90</v>
      </c>
      <c r="H490" s="3">
        <v>50</v>
      </c>
      <c r="I490" s="4">
        <v>9090</v>
      </c>
      <c r="J490" s="4">
        <v>5050</v>
      </c>
      <c r="K490" s="4">
        <v>4040</v>
      </c>
    </row>
    <row r="491" spans="1:11">
      <c r="A491" s="2" t="s">
        <v>400</v>
      </c>
      <c r="B491" s="3" t="s">
        <v>104</v>
      </c>
      <c r="C491" s="3" t="s">
        <v>96</v>
      </c>
      <c r="D491" s="3" t="s">
        <v>110</v>
      </c>
      <c r="E491" s="3">
        <v>33</v>
      </c>
      <c r="F491" s="3">
        <v>82</v>
      </c>
      <c r="G491" s="3">
        <v>90</v>
      </c>
      <c r="H491" s="3">
        <v>50</v>
      </c>
      <c r="I491" s="4">
        <v>7380</v>
      </c>
      <c r="J491" s="4">
        <v>4100</v>
      </c>
      <c r="K491" s="4">
        <v>3280</v>
      </c>
    </row>
    <row r="492" spans="1:11">
      <c r="A492" s="2" t="s">
        <v>401</v>
      </c>
      <c r="B492" s="3" t="s">
        <v>104</v>
      </c>
      <c r="C492" s="3" t="s">
        <v>96</v>
      </c>
      <c r="D492" s="3" t="s">
        <v>110</v>
      </c>
      <c r="E492" s="3">
        <v>25</v>
      </c>
      <c r="F492" s="3">
        <v>32</v>
      </c>
      <c r="G492" s="3">
        <v>90</v>
      </c>
      <c r="H492" s="3">
        <v>50</v>
      </c>
      <c r="I492" s="4">
        <v>2880</v>
      </c>
      <c r="J492" s="4">
        <v>1600</v>
      </c>
      <c r="K492" s="4">
        <v>1280</v>
      </c>
    </row>
    <row r="493" spans="1:11">
      <c r="A493" s="2" t="s">
        <v>299</v>
      </c>
      <c r="B493" s="3" t="s">
        <v>103</v>
      </c>
      <c r="C493" s="3" t="s">
        <v>93</v>
      </c>
      <c r="D493" s="3" t="s">
        <v>110</v>
      </c>
      <c r="E493" s="3">
        <v>26</v>
      </c>
      <c r="F493" s="3">
        <v>43</v>
      </c>
      <c r="G493" s="3">
        <v>100</v>
      </c>
      <c r="H493" s="3">
        <v>55</v>
      </c>
      <c r="I493" s="4">
        <v>4300</v>
      </c>
      <c r="J493" s="4">
        <v>2365</v>
      </c>
      <c r="K493" s="4">
        <v>1935</v>
      </c>
    </row>
    <row r="494" spans="1:11">
      <c r="A494" s="2" t="s">
        <v>195</v>
      </c>
      <c r="B494" s="3" t="s">
        <v>103</v>
      </c>
      <c r="C494" s="3" t="s">
        <v>93</v>
      </c>
      <c r="D494" s="3" t="s">
        <v>110</v>
      </c>
      <c r="E494" s="3">
        <v>27</v>
      </c>
      <c r="F494" s="3">
        <v>55</v>
      </c>
      <c r="G494" s="3">
        <v>100</v>
      </c>
      <c r="H494" s="3">
        <v>55</v>
      </c>
      <c r="I494" s="4">
        <v>5500</v>
      </c>
      <c r="J494" s="4">
        <v>3025</v>
      </c>
      <c r="K494" s="4">
        <v>2475</v>
      </c>
    </row>
    <row r="495" spans="1:11">
      <c r="A495" s="2" t="s">
        <v>192</v>
      </c>
      <c r="B495" s="3" t="s">
        <v>106</v>
      </c>
      <c r="C495" s="3" t="s">
        <v>96</v>
      </c>
      <c r="D495" s="3" t="s">
        <v>111</v>
      </c>
      <c r="E495" s="3">
        <v>40</v>
      </c>
      <c r="F495" s="3">
        <v>57</v>
      </c>
      <c r="G495" s="3">
        <v>90</v>
      </c>
      <c r="H495" s="3">
        <v>50</v>
      </c>
      <c r="I495" s="4">
        <v>5130</v>
      </c>
      <c r="J495" s="4">
        <v>2850</v>
      </c>
      <c r="K495" s="4">
        <v>2280</v>
      </c>
    </row>
    <row r="496" spans="1:11">
      <c r="A496" s="2" t="s">
        <v>381</v>
      </c>
      <c r="B496" s="3" t="s">
        <v>103</v>
      </c>
      <c r="C496" s="3" t="s">
        <v>97</v>
      </c>
      <c r="D496" s="3" t="s">
        <v>112</v>
      </c>
      <c r="E496" s="3">
        <v>20</v>
      </c>
      <c r="F496" s="3">
        <v>10</v>
      </c>
      <c r="G496" s="3">
        <v>130</v>
      </c>
      <c r="H496" s="3">
        <v>70</v>
      </c>
      <c r="I496" s="4">
        <v>1300</v>
      </c>
      <c r="J496" s="4">
        <v>700</v>
      </c>
      <c r="K496" s="4">
        <v>600</v>
      </c>
    </row>
    <row r="497" spans="1:11">
      <c r="A497" s="2" t="s">
        <v>402</v>
      </c>
      <c r="B497" s="3" t="s">
        <v>103</v>
      </c>
      <c r="C497" s="3" t="s">
        <v>98</v>
      </c>
      <c r="D497" s="3" t="s">
        <v>111</v>
      </c>
      <c r="E497" s="3">
        <v>34</v>
      </c>
      <c r="F497" s="3">
        <v>192</v>
      </c>
      <c r="G497" s="3">
        <v>100</v>
      </c>
      <c r="H497" s="3">
        <v>55</v>
      </c>
      <c r="I497" s="4">
        <v>19200</v>
      </c>
      <c r="J497" s="4">
        <v>10560</v>
      </c>
      <c r="K497" s="4">
        <v>8640</v>
      </c>
    </row>
    <row r="498" spans="1:11">
      <c r="A498" s="2" t="s">
        <v>403</v>
      </c>
      <c r="B498" s="3" t="s">
        <v>104</v>
      </c>
      <c r="C498" s="3" t="s">
        <v>93</v>
      </c>
      <c r="D498" s="3" t="s">
        <v>112</v>
      </c>
      <c r="E498" s="3">
        <v>41</v>
      </c>
      <c r="F498" s="3">
        <v>194</v>
      </c>
      <c r="G498" s="3">
        <v>100</v>
      </c>
      <c r="H498" s="3">
        <v>55</v>
      </c>
      <c r="I498" s="4">
        <v>19400</v>
      </c>
      <c r="J498" s="4">
        <v>10670</v>
      </c>
      <c r="K498" s="4">
        <v>8730</v>
      </c>
    </row>
    <row r="499" spans="1:11">
      <c r="A499" s="2" t="s">
        <v>380</v>
      </c>
      <c r="B499" s="3" t="s">
        <v>106</v>
      </c>
      <c r="C499" s="3" t="s">
        <v>96</v>
      </c>
      <c r="D499" s="3" t="s">
        <v>111</v>
      </c>
      <c r="E499" s="3">
        <v>32</v>
      </c>
      <c r="F499" s="3">
        <v>84</v>
      </c>
      <c r="G499" s="3">
        <v>90</v>
      </c>
      <c r="H499" s="3">
        <v>50</v>
      </c>
      <c r="I499" s="4">
        <v>7560</v>
      </c>
      <c r="J499" s="4">
        <v>4200</v>
      </c>
      <c r="K499" s="4">
        <v>3360</v>
      </c>
    </row>
    <row r="500" spans="1:11">
      <c r="A500" s="2" t="s">
        <v>404</v>
      </c>
      <c r="B500" s="3" t="s">
        <v>105</v>
      </c>
      <c r="C500" s="3" t="s">
        <v>95</v>
      </c>
      <c r="D500" s="3" t="s">
        <v>112</v>
      </c>
      <c r="E500" s="3">
        <v>26</v>
      </c>
      <c r="F500" s="3">
        <v>40</v>
      </c>
      <c r="G500" s="3">
        <v>110</v>
      </c>
      <c r="H500" s="3">
        <v>60</v>
      </c>
      <c r="I500" s="4">
        <v>4400</v>
      </c>
      <c r="J500" s="4">
        <v>2400</v>
      </c>
      <c r="K500" s="4">
        <v>2000</v>
      </c>
    </row>
    <row r="501" spans="1:11">
      <c r="A501" s="2" t="s">
        <v>180</v>
      </c>
      <c r="B501" s="3" t="s">
        <v>103</v>
      </c>
      <c r="C501" s="3" t="s">
        <v>93</v>
      </c>
      <c r="D501" s="3" t="s">
        <v>111</v>
      </c>
      <c r="E501" s="3">
        <v>30</v>
      </c>
      <c r="F501" s="3">
        <v>41</v>
      </c>
      <c r="G501" s="3">
        <v>100</v>
      </c>
      <c r="H501" s="3">
        <v>55</v>
      </c>
      <c r="I501" s="4">
        <v>4100</v>
      </c>
      <c r="J501" s="4">
        <v>2255</v>
      </c>
      <c r="K501" s="4">
        <v>1845</v>
      </c>
    </row>
    <row r="502" spans="1:11">
      <c r="A502" s="2" t="s">
        <v>168</v>
      </c>
      <c r="B502" s="3" t="s">
        <v>104</v>
      </c>
      <c r="C502" s="3" t="s">
        <v>94</v>
      </c>
      <c r="D502" s="3" t="s">
        <v>110</v>
      </c>
      <c r="E502" s="3">
        <v>28</v>
      </c>
      <c r="F502" s="3">
        <v>70</v>
      </c>
      <c r="G502" s="3">
        <v>80</v>
      </c>
      <c r="H502" s="3">
        <v>45</v>
      </c>
      <c r="I502" s="4">
        <v>5600</v>
      </c>
      <c r="J502" s="4">
        <v>3150</v>
      </c>
      <c r="K502" s="4">
        <v>2450</v>
      </c>
    </row>
    <row r="503" spans="1:11">
      <c r="A503" s="2" t="s">
        <v>320</v>
      </c>
      <c r="B503" s="3" t="s">
        <v>105</v>
      </c>
      <c r="C503" s="3" t="s">
        <v>94</v>
      </c>
      <c r="D503" s="3" t="s">
        <v>111</v>
      </c>
      <c r="E503" s="3">
        <v>34</v>
      </c>
      <c r="F503" s="3">
        <v>100</v>
      </c>
      <c r="G503" s="3">
        <v>80</v>
      </c>
      <c r="H503" s="3">
        <v>45</v>
      </c>
      <c r="I503" s="4">
        <v>8000</v>
      </c>
      <c r="J503" s="4">
        <v>4500</v>
      </c>
      <c r="K503" s="4">
        <v>3500</v>
      </c>
    </row>
    <row r="504" spans="1:11">
      <c r="A504" s="2" t="s">
        <v>405</v>
      </c>
      <c r="B504" s="3" t="s">
        <v>106</v>
      </c>
      <c r="C504" s="3" t="s">
        <v>93</v>
      </c>
      <c r="D504" s="3" t="s">
        <v>112</v>
      </c>
      <c r="E504" s="3">
        <v>26</v>
      </c>
      <c r="F504" s="3">
        <v>25</v>
      </c>
      <c r="G504" s="3">
        <v>100</v>
      </c>
      <c r="H504" s="3">
        <v>55</v>
      </c>
      <c r="I504" s="4">
        <v>2500</v>
      </c>
      <c r="J504" s="4">
        <v>1375</v>
      </c>
      <c r="K504" s="4">
        <v>1125</v>
      </c>
    </row>
    <row r="505" spans="1:11">
      <c r="A505" s="2" t="s">
        <v>139</v>
      </c>
      <c r="B505" s="3" t="s">
        <v>105</v>
      </c>
      <c r="C505" s="3" t="s">
        <v>98</v>
      </c>
      <c r="D505" s="3" t="s">
        <v>111</v>
      </c>
      <c r="E505" s="3">
        <v>24</v>
      </c>
      <c r="F505" s="3">
        <v>45</v>
      </c>
      <c r="G505" s="3">
        <v>100</v>
      </c>
      <c r="H505" s="3">
        <v>55</v>
      </c>
      <c r="I505" s="4">
        <v>4500</v>
      </c>
      <c r="J505" s="4">
        <v>2475</v>
      </c>
      <c r="K505" s="4">
        <v>2025</v>
      </c>
    </row>
    <row r="506" spans="1:11">
      <c r="A506" s="2" t="s">
        <v>334</v>
      </c>
      <c r="B506" s="3" t="s">
        <v>104</v>
      </c>
      <c r="C506" s="3" t="s">
        <v>94</v>
      </c>
      <c r="D506" s="3" t="s">
        <v>112</v>
      </c>
      <c r="E506" s="3">
        <v>33</v>
      </c>
      <c r="F506" s="3">
        <v>85</v>
      </c>
      <c r="G506" s="3">
        <v>80</v>
      </c>
      <c r="H506" s="3">
        <v>45</v>
      </c>
      <c r="I506" s="4">
        <v>6800</v>
      </c>
      <c r="J506" s="4">
        <v>3825</v>
      </c>
      <c r="K506" s="4">
        <v>2975</v>
      </c>
    </row>
    <row r="507" spans="1:11">
      <c r="A507" s="2" t="s">
        <v>406</v>
      </c>
      <c r="B507" s="3" t="s">
        <v>105</v>
      </c>
      <c r="C507" s="3" t="s">
        <v>93</v>
      </c>
      <c r="D507" s="3" t="s">
        <v>110</v>
      </c>
      <c r="E507" s="3">
        <v>23</v>
      </c>
      <c r="F507" s="3">
        <v>49</v>
      </c>
      <c r="G507" s="3">
        <v>100</v>
      </c>
      <c r="H507" s="3">
        <v>55</v>
      </c>
      <c r="I507" s="4">
        <v>4900</v>
      </c>
      <c r="J507" s="4">
        <v>2695</v>
      </c>
      <c r="K507" s="4">
        <v>2205</v>
      </c>
    </row>
    <row r="508" spans="1:11">
      <c r="A508" s="2" t="s">
        <v>199</v>
      </c>
      <c r="B508" s="3" t="s">
        <v>103</v>
      </c>
      <c r="C508" s="3" t="s">
        <v>98</v>
      </c>
      <c r="D508" s="3" t="s">
        <v>110</v>
      </c>
      <c r="E508" s="3">
        <v>32</v>
      </c>
      <c r="F508" s="3">
        <v>106</v>
      </c>
      <c r="G508" s="3">
        <v>100</v>
      </c>
      <c r="H508" s="3">
        <v>55</v>
      </c>
      <c r="I508" s="4">
        <v>10600</v>
      </c>
      <c r="J508" s="4">
        <v>5830</v>
      </c>
      <c r="K508" s="4">
        <v>4770</v>
      </c>
    </row>
    <row r="509" spans="1:11">
      <c r="A509" s="2" t="s">
        <v>224</v>
      </c>
      <c r="B509" s="3" t="s">
        <v>104</v>
      </c>
      <c r="C509" s="3" t="s">
        <v>95</v>
      </c>
      <c r="D509" s="3" t="s">
        <v>110</v>
      </c>
      <c r="E509" s="3">
        <v>36</v>
      </c>
      <c r="F509" s="3">
        <v>123</v>
      </c>
      <c r="G509" s="3">
        <v>110</v>
      </c>
      <c r="H509" s="3">
        <v>60</v>
      </c>
      <c r="I509" s="4">
        <v>13530</v>
      </c>
      <c r="J509" s="4">
        <v>7380</v>
      </c>
      <c r="K509" s="4">
        <v>6150</v>
      </c>
    </row>
    <row r="510" spans="1:11">
      <c r="A510" s="2" t="s">
        <v>274</v>
      </c>
      <c r="B510" s="3" t="s">
        <v>103</v>
      </c>
      <c r="C510" s="3" t="s">
        <v>93</v>
      </c>
      <c r="D510" s="3" t="s">
        <v>110</v>
      </c>
      <c r="E510" s="3">
        <v>34</v>
      </c>
      <c r="F510" s="3">
        <v>187</v>
      </c>
      <c r="G510" s="3">
        <v>100</v>
      </c>
      <c r="H510" s="3">
        <v>55</v>
      </c>
      <c r="I510" s="4">
        <v>18700</v>
      </c>
      <c r="J510" s="4">
        <v>10285</v>
      </c>
      <c r="K510" s="4">
        <v>8415</v>
      </c>
    </row>
    <row r="511" spans="1:11">
      <c r="A511" s="2" t="s">
        <v>229</v>
      </c>
      <c r="B511" s="3" t="s">
        <v>106</v>
      </c>
      <c r="C511" s="3" t="s">
        <v>93</v>
      </c>
      <c r="D511" s="3" t="s">
        <v>110</v>
      </c>
      <c r="E511" s="3">
        <v>40</v>
      </c>
      <c r="F511" s="3">
        <v>78</v>
      </c>
      <c r="G511" s="3">
        <v>100</v>
      </c>
      <c r="H511" s="3">
        <v>55</v>
      </c>
      <c r="I511" s="4">
        <v>7800</v>
      </c>
      <c r="J511" s="4">
        <v>4290</v>
      </c>
      <c r="K511" s="4">
        <v>3510</v>
      </c>
    </row>
    <row r="512" spans="1:11">
      <c r="A512" s="2" t="s">
        <v>217</v>
      </c>
      <c r="B512" s="3" t="s">
        <v>104</v>
      </c>
      <c r="C512" s="3" t="s">
        <v>94</v>
      </c>
      <c r="D512" s="3" t="s">
        <v>111</v>
      </c>
      <c r="E512" s="3">
        <v>26</v>
      </c>
      <c r="F512" s="3">
        <v>57</v>
      </c>
      <c r="G512" s="3">
        <v>80</v>
      </c>
      <c r="H512" s="3">
        <v>45</v>
      </c>
      <c r="I512" s="4">
        <v>4560</v>
      </c>
      <c r="J512" s="4">
        <v>2565</v>
      </c>
      <c r="K512" s="4">
        <v>1995</v>
      </c>
    </row>
    <row r="513" spans="1:11">
      <c r="A513" s="2" t="s">
        <v>171</v>
      </c>
      <c r="B513" s="3" t="s">
        <v>106</v>
      </c>
      <c r="C513" s="3" t="s">
        <v>94</v>
      </c>
      <c r="D513" s="3" t="s">
        <v>111</v>
      </c>
      <c r="E513" s="3">
        <v>38</v>
      </c>
      <c r="F513" s="3">
        <v>183</v>
      </c>
      <c r="G513" s="3">
        <v>80</v>
      </c>
      <c r="H513" s="3">
        <v>45</v>
      </c>
      <c r="I513" s="4">
        <v>14640</v>
      </c>
      <c r="J513" s="4">
        <v>8235</v>
      </c>
      <c r="K513" s="4">
        <v>6405</v>
      </c>
    </row>
    <row r="514" spans="1:11">
      <c r="A514" s="2" t="s">
        <v>407</v>
      </c>
      <c r="B514" s="3" t="s">
        <v>105</v>
      </c>
      <c r="C514" s="3" t="s">
        <v>93</v>
      </c>
      <c r="D514" s="3" t="s">
        <v>111</v>
      </c>
      <c r="E514" s="3">
        <v>30</v>
      </c>
      <c r="F514" s="3">
        <v>86</v>
      </c>
      <c r="G514" s="3">
        <v>100</v>
      </c>
      <c r="H514" s="3">
        <v>55</v>
      </c>
      <c r="I514" s="4">
        <v>8600</v>
      </c>
      <c r="J514" s="4">
        <v>4730</v>
      </c>
      <c r="K514" s="4">
        <v>3870</v>
      </c>
    </row>
    <row r="515" spans="1:11">
      <c r="A515" s="2" t="s">
        <v>174</v>
      </c>
      <c r="B515" s="3" t="s">
        <v>105</v>
      </c>
      <c r="C515" s="3" t="s">
        <v>98</v>
      </c>
      <c r="D515" s="3" t="s">
        <v>111</v>
      </c>
      <c r="E515" s="3">
        <v>32</v>
      </c>
      <c r="F515" s="3">
        <v>57</v>
      </c>
      <c r="G515" s="3">
        <v>100</v>
      </c>
      <c r="H515" s="3">
        <v>55</v>
      </c>
      <c r="I515" s="4">
        <v>5700</v>
      </c>
      <c r="J515" s="4">
        <v>3135</v>
      </c>
      <c r="K515" s="4">
        <v>2565</v>
      </c>
    </row>
    <row r="516" spans="1:11">
      <c r="A516" s="2" t="s">
        <v>145</v>
      </c>
      <c r="B516" s="3" t="s">
        <v>103</v>
      </c>
      <c r="C516" s="3" t="s">
        <v>93</v>
      </c>
      <c r="D516" s="3" t="s">
        <v>110</v>
      </c>
      <c r="E516" s="3">
        <v>34</v>
      </c>
      <c r="F516" s="3">
        <v>96</v>
      </c>
      <c r="G516" s="3">
        <v>100</v>
      </c>
      <c r="H516" s="3">
        <v>55</v>
      </c>
      <c r="I516" s="4">
        <v>9600</v>
      </c>
      <c r="J516" s="4">
        <v>5280</v>
      </c>
      <c r="K516" s="4">
        <v>4320</v>
      </c>
    </row>
    <row r="517" spans="1:11">
      <c r="A517" s="2" t="s">
        <v>388</v>
      </c>
      <c r="B517" s="3" t="s">
        <v>104</v>
      </c>
      <c r="C517" s="3" t="s">
        <v>94</v>
      </c>
      <c r="D517" s="3" t="s">
        <v>111</v>
      </c>
      <c r="E517" s="3">
        <v>41</v>
      </c>
      <c r="F517" s="3">
        <v>53</v>
      </c>
      <c r="G517" s="3">
        <v>80</v>
      </c>
      <c r="H517" s="3">
        <v>45</v>
      </c>
      <c r="I517" s="4">
        <v>4240</v>
      </c>
      <c r="J517" s="4">
        <v>2385</v>
      </c>
      <c r="K517" s="4">
        <v>1855</v>
      </c>
    </row>
    <row r="518" spans="1:11">
      <c r="A518" s="2" t="s">
        <v>171</v>
      </c>
      <c r="B518" s="3" t="s">
        <v>105</v>
      </c>
      <c r="C518" s="3" t="s">
        <v>97</v>
      </c>
      <c r="D518" s="3" t="s">
        <v>112</v>
      </c>
      <c r="E518" s="3">
        <v>37</v>
      </c>
      <c r="F518" s="3">
        <v>124</v>
      </c>
      <c r="G518" s="3">
        <v>130</v>
      </c>
      <c r="H518" s="3">
        <v>70</v>
      </c>
      <c r="I518" s="4">
        <v>16120</v>
      </c>
      <c r="J518" s="4">
        <v>8680</v>
      </c>
      <c r="K518" s="4">
        <v>7440</v>
      </c>
    </row>
    <row r="519" spans="1:11">
      <c r="A519" s="2" t="s">
        <v>159</v>
      </c>
      <c r="B519" s="3" t="s">
        <v>105</v>
      </c>
      <c r="C519" s="3" t="s">
        <v>94</v>
      </c>
      <c r="D519" s="3" t="s">
        <v>111</v>
      </c>
      <c r="E519" s="3">
        <v>34</v>
      </c>
      <c r="F519" s="3">
        <v>86</v>
      </c>
      <c r="G519" s="3">
        <v>80</v>
      </c>
      <c r="H519" s="3">
        <v>45</v>
      </c>
      <c r="I519" s="4">
        <v>6880</v>
      </c>
      <c r="J519" s="4">
        <v>3870</v>
      </c>
      <c r="K519" s="4">
        <v>3010</v>
      </c>
    </row>
    <row r="520" spans="1:11">
      <c r="A520" s="2" t="s">
        <v>312</v>
      </c>
      <c r="B520" s="3" t="s">
        <v>106</v>
      </c>
      <c r="C520" s="3" t="s">
        <v>93</v>
      </c>
      <c r="D520" s="3" t="s">
        <v>111</v>
      </c>
      <c r="E520" s="3">
        <v>26</v>
      </c>
      <c r="F520" s="3">
        <v>97</v>
      </c>
      <c r="G520" s="3">
        <v>100</v>
      </c>
      <c r="H520" s="3">
        <v>55</v>
      </c>
      <c r="I520" s="4">
        <v>9700</v>
      </c>
      <c r="J520" s="4">
        <v>5335</v>
      </c>
      <c r="K520" s="4">
        <v>4365</v>
      </c>
    </row>
    <row r="521" spans="1:11">
      <c r="A521" s="2" t="s">
        <v>408</v>
      </c>
      <c r="B521" s="3" t="s">
        <v>103</v>
      </c>
      <c r="C521" s="3" t="s">
        <v>97</v>
      </c>
      <c r="D521" s="3" t="s">
        <v>111</v>
      </c>
      <c r="E521" s="3">
        <v>34</v>
      </c>
      <c r="F521" s="3">
        <v>86</v>
      </c>
      <c r="G521" s="3">
        <v>130</v>
      </c>
      <c r="H521" s="3">
        <v>70</v>
      </c>
      <c r="I521" s="4">
        <v>11180</v>
      </c>
      <c r="J521" s="4">
        <v>6020</v>
      </c>
      <c r="K521" s="4">
        <v>5160</v>
      </c>
    </row>
    <row r="522" spans="1:11">
      <c r="A522" s="2" t="s">
        <v>362</v>
      </c>
      <c r="B522" s="3" t="s">
        <v>103</v>
      </c>
      <c r="C522" s="3" t="s">
        <v>94</v>
      </c>
      <c r="D522" s="3" t="s">
        <v>110</v>
      </c>
      <c r="E522" s="3">
        <v>40</v>
      </c>
      <c r="F522" s="3">
        <v>101</v>
      </c>
      <c r="G522" s="3">
        <v>80</v>
      </c>
      <c r="H522" s="3">
        <v>45</v>
      </c>
      <c r="I522" s="4">
        <v>8080</v>
      </c>
      <c r="J522" s="4">
        <v>4545</v>
      </c>
      <c r="K522" s="4">
        <v>3535</v>
      </c>
    </row>
    <row r="523" spans="1:11">
      <c r="A523" s="2" t="s">
        <v>409</v>
      </c>
      <c r="B523" s="3" t="s">
        <v>106</v>
      </c>
      <c r="C523" s="3" t="s">
        <v>94</v>
      </c>
      <c r="D523" s="3" t="s">
        <v>111</v>
      </c>
      <c r="E523" s="3">
        <v>30</v>
      </c>
      <c r="F523" s="3">
        <v>44</v>
      </c>
      <c r="G523" s="3">
        <v>80</v>
      </c>
      <c r="H523" s="3">
        <v>45</v>
      </c>
      <c r="I523" s="4">
        <v>3520</v>
      </c>
      <c r="J523" s="4">
        <v>1980</v>
      </c>
      <c r="K523" s="4">
        <v>1540</v>
      </c>
    </row>
    <row r="524" spans="1:11">
      <c r="A524" s="2" t="s">
        <v>233</v>
      </c>
      <c r="B524" s="3" t="s">
        <v>103</v>
      </c>
      <c r="C524" s="3" t="s">
        <v>94</v>
      </c>
      <c r="D524" s="3" t="s">
        <v>111</v>
      </c>
      <c r="E524" s="3">
        <v>28</v>
      </c>
      <c r="F524" s="3">
        <v>107</v>
      </c>
      <c r="G524" s="3">
        <v>80</v>
      </c>
      <c r="H524" s="3">
        <v>45</v>
      </c>
      <c r="I524" s="4">
        <v>8560</v>
      </c>
      <c r="J524" s="4">
        <v>4815</v>
      </c>
      <c r="K524" s="4">
        <v>3745</v>
      </c>
    </row>
    <row r="525" spans="1:11">
      <c r="A525" s="2" t="s">
        <v>178</v>
      </c>
      <c r="B525" s="3" t="s">
        <v>103</v>
      </c>
      <c r="C525" s="3" t="s">
        <v>93</v>
      </c>
      <c r="D525" s="3" t="s">
        <v>110</v>
      </c>
      <c r="E525" s="3">
        <v>18</v>
      </c>
      <c r="F525" s="3">
        <v>42</v>
      </c>
      <c r="G525" s="3">
        <v>100</v>
      </c>
      <c r="H525" s="3">
        <v>55</v>
      </c>
      <c r="I525" s="4">
        <v>4200</v>
      </c>
      <c r="J525" s="4">
        <v>2310</v>
      </c>
      <c r="K525" s="4">
        <v>1890</v>
      </c>
    </row>
    <row r="526" spans="1:11">
      <c r="A526" s="2" t="s">
        <v>410</v>
      </c>
      <c r="B526" s="3" t="s">
        <v>104</v>
      </c>
      <c r="C526" s="3" t="s">
        <v>97</v>
      </c>
      <c r="D526" s="3" t="s">
        <v>110</v>
      </c>
      <c r="E526" s="3">
        <v>34</v>
      </c>
      <c r="F526" s="3">
        <v>99</v>
      </c>
      <c r="G526" s="3">
        <v>130</v>
      </c>
      <c r="H526" s="3">
        <v>70</v>
      </c>
      <c r="I526" s="4">
        <v>12870</v>
      </c>
      <c r="J526" s="4">
        <v>6930</v>
      </c>
      <c r="K526" s="4">
        <v>5940</v>
      </c>
    </row>
    <row r="527" spans="1:11">
      <c r="A527" s="2" t="s">
        <v>193</v>
      </c>
      <c r="B527" s="3" t="s">
        <v>104</v>
      </c>
      <c r="C527" s="3" t="s">
        <v>96</v>
      </c>
      <c r="D527" s="3" t="s">
        <v>110</v>
      </c>
      <c r="E527" s="3">
        <v>34</v>
      </c>
      <c r="F527" s="3">
        <v>88</v>
      </c>
      <c r="G527" s="3">
        <v>90</v>
      </c>
      <c r="H527" s="3">
        <v>50</v>
      </c>
      <c r="I527" s="4">
        <v>7920</v>
      </c>
      <c r="J527" s="4">
        <v>4400</v>
      </c>
      <c r="K527" s="4">
        <v>3520</v>
      </c>
    </row>
    <row r="528" spans="1:11">
      <c r="A528" s="2" t="s">
        <v>387</v>
      </c>
      <c r="B528" s="3" t="s">
        <v>104</v>
      </c>
      <c r="C528" s="3" t="s">
        <v>93</v>
      </c>
      <c r="D528" s="3" t="s">
        <v>111</v>
      </c>
      <c r="E528" s="3">
        <v>23</v>
      </c>
      <c r="F528" s="3">
        <v>47</v>
      </c>
      <c r="G528" s="3">
        <v>100</v>
      </c>
      <c r="H528" s="3">
        <v>55</v>
      </c>
      <c r="I528" s="4">
        <v>4700</v>
      </c>
      <c r="J528" s="4">
        <v>2585</v>
      </c>
      <c r="K528" s="4">
        <v>2115</v>
      </c>
    </row>
    <row r="529" spans="1:11">
      <c r="A529" s="2" t="s">
        <v>256</v>
      </c>
      <c r="B529" s="3" t="s">
        <v>106</v>
      </c>
      <c r="C529" s="3" t="s">
        <v>94</v>
      </c>
      <c r="D529" s="3" t="s">
        <v>111</v>
      </c>
      <c r="E529" s="3">
        <v>33</v>
      </c>
      <c r="F529" s="3">
        <v>174</v>
      </c>
      <c r="G529" s="3">
        <v>80</v>
      </c>
      <c r="H529" s="3">
        <v>45</v>
      </c>
      <c r="I529" s="4">
        <v>13920</v>
      </c>
      <c r="J529" s="4">
        <v>7830</v>
      </c>
      <c r="K529" s="4">
        <v>6090</v>
      </c>
    </row>
    <row r="530" spans="1:11">
      <c r="A530" s="2" t="s">
        <v>182</v>
      </c>
      <c r="B530" s="3" t="s">
        <v>104</v>
      </c>
      <c r="C530" s="3" t="s">
        <v>97</v>
      </c>
      <c r="D530" s="3" t="s">
        <v>112</v>
      </c>
      <c r="E530" s="3">
        <v>33</v>
      </c>
      <c r="F530" s="3">
        <v>37</v>
      </c>
      <c r="G530" s="3">
        <v>130</v>
      </c>
      <c r="H530" s="3">
        <v>70</v>
      </c>
      <c r="I530" s="4">
        <v>4810</v>
      </c>
      <c r="J530" s="4">
        <v>2590</v>
      </c>
      <c r="K530" s="4">
        <v>2220</v>
      </c>
    </row>
    <row r="531" spans="1:11">
      <c r="A531" s="2" t="s">
        <v>411</v>
      </c>
      <c r="B531" s="3" t="s">
        <v>103</v>
      </c>
      <c r="C531" s="3" t="s">
        <v>93</v>
      </c>
      <c r="D531" s="3" t="s">
        <v>110</v>
      </c>
      <c r="E531" s="3">
        <v>21</v>
      </c>
      <c r="F531" s="3">
        <v>26</v>
      </c>
      <c r="G531" s="3">
        <v>100</v>
      </c>
      <c r="H531" s="3">
        <v>55</v>
      </c>
      <c r="I531" s="4">
        <v>2600</v>
      </c>
      <c r="J531" s="4">
        <v>1430</v>
      </c>
      <c r="K531" s="4">
        <v>1170</v>
      </c>
    </row>
    <row r="532" spans="1:11">
      <c r="A532" s="2" t="s">
        <v>412</v>
      </c>
      <c r="B532" s="3" t="s">
        <v>106</v>
      </c>
      <c r="C532" s="3" t="s">
        <v>95</v>
      </c>
      <c r="D532" s="3" t="s">
        <v>111</v>
      </c>
      <c r="E532" s="3">
        <v>35</v>
      </c>
      <c r="F532" s="3">
        <v>123</v>
      </c>
      <c r="G532" s="3">
        <v>110</v>
      </c>
      <c r="H532" s="3">
        <v>60</v>
      </c>
      <c r="I532" s="4">
        <v>13530</v>
      </c>
      <c r="J532" s="4">
        <v>7380</v>
      </c>
      <c r="K532" s="4">
        <v>6150</v>
      </c>
    </row>
    <row r="533" spans="1:11">
      <c r="A533" s="2" t="s">
        <v>150</v>
      </c>
      <c r="B533" s="3" t="s">
        <v>104</v>
      </c>
      <c r="C533" s="3" t="s">
        <v>93</v>
      </c>
      <c r="D533" s="3" t="s">
        <v>111</v>
      </c>
      <c r="E533" s="3">
        <v>33</v>
      </c>
      <c r="F533" s="3">
        <v>153</v>
      </c>
      <c r="G533" s="3">
        <v>100</v>
      </c>
      <c r="H533" s="3">
        <v>55</v>
      </c>
      <c r="I533" s="4">
        <v>15300</v>
      </c>
      <c r="J533" s="4">
        <v>8415</v>
      </c>
      <c r="K533" s="4">
        <v>6885</v>
      </c>
    </row>
    <row r="534" spans="1:11">
      <c r="A534" s="2" t="s">
        <v>344</v>
      </c>
      <c r="B534" s="3" t="s">
        <v>103</v>
      </c>
      <c r="C534" s="3" t="s">
        <v>95</v>
      </c>
      <c r="D534" s="3" t="s">
        <v>110</v>
      </c>
      <c r="E534" s="3">
        <v>29</v>
      </c>
      <c r="F534" s="3">
        <v>96</v>
      </c>
      <c r="G534" s="3">
        <v>110</v>
      </c>
      <c r="H534" s="3">
        <v>60</v>
      </c>
      <c r="I534" s="4">
        <v>10560</v>
      </c>
      <c r="J534" s="4">
        <v>5760</v>
      </c>
      <c r="K534" s="4">
        <v>4800</v>
      </c>
    </row>
    <row r="535" spans="1:11">
      <c r="A535" s="2" t="s">
        <v>140</v>
      </c>
      <c r="B535" s="3" t="s">
        <v>106</v>
      </c>
      <c r="C535" s="3" t="s">
        <v>94</v>
      </c>
      <c r="D535" s="3" t="s">
        <v>112</v>
      </c>
      <c r="E535" s="3">
        <v>34</v>
      </c>
      <c r="F535" s="3">
        <v>30</v>
      </c>
      <c r="G535" s="3">
        <v>80</v>
      </c>
      <c r="H535" s="3">
        <v>45</v>
      </c>
      <c r="I535" s="4">
        <v>2400</v>
      </c>
      <c r="J535" s="4">
        <v>1350</v>
      </c>
      <c r="K535" s="4">
        <v>1050</v>
      </c>
    </row>
    <row r="536" spans="1:11">
      <c r="A536" s="2" t="s">
        <v>390</v>
      </c>
      <c r="B536" s="3" t="s">
        <v>105</v>
      </c>
      <c r="C536" s="3" t="s">
        <v>93</v>
      </c>
      <c r="D536" s="3" t="s">
        <v>110</v>
      </c>
      <c r="E536" s="3">
        <v>34</v>
      </c>
      <c r="F536" s="3">
        <v>143</v>
      </c>
      <c r="G536" s="3">
        <v>100</v>
      </c>
      <c r="H536" s="3">
        <v>55</v>
      </c>
      <c r="I536" s="4">
        <v>14300</v>
      </c>
      <c r="J536" s="4">
        <v>7865</v>
      </c>
      <c r="K536" s="4">
        <v>6435</v>
      </c>
    </row>
    <row r="537" spans="1:11">
      <c r="A537" s="2" t="s">
        <v>287</v>
      </c>
      <c r="B537" s="3" t="s">
        <v>104</v>
      </c>
      <c r="C537" s="3" t="s">
        <v>97</v>
      </c>
      <c r="D537" s="3" t="s">
        <v>110</v>
      </c>
      <c r="E537" s="3">
        <v>35</v>
      </c>
      <c r="F537" s="3">
        <v>67</v>
      </c>
      <c r="G537" s="3">
        <v>130</v>
      </c>
      <c r="H537" s="3">
        <v>70</v>
      </c>
      <c r="I537" s="4">
        <v>8710</v>
      </c>
      <c r="J537" s="4">
        <v>4690</v>
      </c>
      <c r="K537" s="4">
        <v>4020</v>
      </c>
    </row>
    <row r="538" spans="1:11">
      <c r="A538" s="2" t="s">
        <v>172</v>
      </c>
      <c r="B538" s="3" t="s">
        <v>104</v>
      </c>
      <c r="C538" s="3" t="s">
        <v>96</v>
      </c>
      <c r="D538" s="3" t="s">
        <v>111</v>
      </c>
      <c r="E538" s="3">
        <v>18</v>
      </c>
      <c r="F538" s="3">
        <v>59</v>
      </c>
      <c r="G538" s="3">
        <v>90</v>
      </c>
      <c r="H538" s="3">
        <v>50</v>
      </c>
      <c r="I538" s="4">
        <v>5310</v>
      </c>
      <c r="J538" s="4">
        <v>2950</v>
      </c>
      <c r="K538" s="4">
        <v>2360</v>
      </c>
    </row>
    <row r="539" spans="1:11">
      <c r="A539" s="2" t="s">
        <v>300</v>
      </c>
      <c r="B539" s="3" t="s">
        <v>106</v>
      </c>
      <c r="C539" s="3" t="s">
        <v>98</v>
      </c>
      <c r="D539" s="3" t="s">
        <v>110</v>
      </c>
      <c r="E539" s="3">
        <v>34</v>
      </c>
      <c r="F539" s="3">
        <v>88</v>
      </c>
      <c r="G539" s="3">
        <v>100</v>
      </c>
      <c r="H539" s="3">
        <v>55</v>
      </c>
      <c r="I539" s="4">
        <v>8800</v>
      </c>
      <c r="J539" s="4">
        <v>4840</v>
      </c>
      <c r="K539" s="4">
        <v>3960</v>
      </c>
    </row>
    <row r="540" spans="1:11">
      <c r="A540" s="2" t="s">
        <v>413</v>
      </c>
      <c r="B540" s="3" t="s">
        <v>106</v>
      </c>
      <c r="C540" s="3" t="s">
        <v>94</v>
      </c>
      <c r="D540" s="3" t="s">
        <v>110</v>
      </c>
      <c r="E540" s="3">
        <v>36</v>
      </c>
      <c r="F540" s="3">
        <v>117</v>
      </c>
      <c r="G540" s="3">
        <v>80</v>
      </c>
      <c r="H540" s="3">
        <v>45</v>
      </c>
      <c r="I540" s="4">
        <v>9360</v>
      </c>
      <c r="J540" s="4">
        <v>5265</v>
      </c>
      <c r="K540" s="4">
        <v>4095</v>
      </c>
    </row>
    <row r="541" spans="1:11">
      <c r="A541" s="2" t="s">
        <v>360</v>
      </c>
      <c r="B541" s="3" t="s">
        <v>104</v>
      </c>
      <c r="C541" s="3" t="s">
        <v>93</v>
      </c>
      <c r="D541" s="3" t="s">
        <v>111</v>
      </c>
      <c r="E541" s="3">
        <v>28</v>
      </c>
      <c r="F541" s="3">
        <v>55</v>
      </c>
      <c r="G541" s="3">
        <v>100</v>
      </c>
      <c r="H541" s="3">
        <v>55</v>
      </c>
      <c r="I541" s="4">
        <v>5500</v>
      </c>
      <c r="J541" s="4">
        <v>3025</v>
      </c>
      <c r="K541" s="4">
        <v>2475</v>
      </c>
    </row>
    <row r="542" spans="1:11">
      <c r="A542" s="2" t="s">
        <v>356</v>
      </c>
      <c r="B542" s="3" t="s">
        <v>106</v>
      </c>
      <c r="C542" s="3" t="s">
        <v>93</v>
      </c>
      <c r="D542" s="3" t="s">
        <v>112</v>
      </c>
      <c r="E542" s="3">
        <v>36</v>
      </c>
      <c r="F542" s="3">
        <v>89</v>
      </c>
      <c r="G542" s="3">
        <v>100</v>
      </c>
      <c r="H542" s="3">
        <v>55</v>
      </c>
      <c r="I542" s="4">
        <v>8900</v>
      </c>
      <c r="J542" s="4">
        <v>4895</v>
      </c>
      <c r="K542" s="4">
        <v>4005</v>
      </c>
    </row>
    <row r="543" spans="1:11">
      <c r="A543" s="2" t="s">
        <v>414</v>
      </c>
      <c r="B543" s="3" t="s">
        <v>106</v>
      </c>
      <c r="C543" s="3" t="s">
        <v>98</v>
      </c>
      <c r="D543" s="3" t="s">
        <v>111</v>
      </c>
      <c r="E543" s="3">
        <v>39</v>
      </c>
      <c r="F543" s="3">
        <v>158</v>
      </c>
      <c r="G543" s="3">
        <v>100</v>
      </c>
      <c r="H543" s="3">
        <v>55</v>
      </c>
      <c r="I543" s="4">
        <v>15800</v>
      </c>
      <c r="J543" s="4">
        <v>8690</v>
      </c>
      <c r="K543" s="4">
        <v>7110</v>
      </c>
    </row>
    <row r="544" spans="1:11">
      <c r="A544" s="2" t="s">
        <v>415</v>
      </c>
      <c r="B544" s="3" t="s">
        <v>104</v>
      </c>
      <c r="C544" s="3" t="s">
        <v>93</v>
      </c>
      <c r="D544" s="3" t="s">
        <v>110</v>
      </c>
      <c r="E544" s="3">
        <v>28</v>
      </c>
      <c r="F544" s="3">
        <v>97</v>
      </c>
      <c r="G544" s="3">
        <v>100</v>
      </c>
      <c r="H544" s="3">
        <v>55</v>
      </c>
      <c r="I544" s="4">
        <v>9700</v>
      </c>
      <c r="J544" s="4">
        <v>5335</v>
      </c>
      <c r="K544" s="4">
        <v>4365</v>
      </c>
    </row>
    <row r="545" spans="1:11">
      <c r="A545" s="2" t="s">
        <v>265</v>
      </c>
      <c r="B545" s="3" t="s">
        <v>106</v>
      </c>
      <c r="C545" s="3" t="s">
        <v>94</v>
      </c>
      <c r="D545" s="3" t="s">
        <v>110</v>
      </c>
      <c r="E545" s="3">
        <v>27</v>
      </c>
      <c r="F545" s="3">
        <v>65</v>
      </c>
      <c r="G545" s="3">
        <v>80</v>
      </c>
      <c r="H545" s="3">
        <v>45</v>
      </c>
      <c r="I545" s="4">
        <v>5200</v>
      </c>
      <c r="J545" s="4">
        <v>2925</v>
      </c>
      <c r="K545" s="4">
        <v>2275</v>
      </c>
    </row>
    <row r="546" spans="1:11">
      <c r="A546" s="2" t="s">
        <v>305</v>
      </c>
      <c r="B546" s="3" t="s">
        <v>106</v>
      </c>
      <c r="C546" s="3" t="s">
        <v>93</v>
      </c>
      <c r="D546" s="3" t="s">
        <v>111</v>
      </c>
      <c r="E546" s="3">
        <v>24</v>
      </c>
      <c r="F546" s="3">
        <v>58</v>
      </c>
      <c r="G546" s="3">
        <v>100</v>
      </c>
      <c r="H546" s="3">
        <v>55</v>
      </c>
      <c r="I546" s="4">
        <v>5800</v>
      </c>
      <c r="J546" s="4">
        <v>3190</v>
      </c>
      <c r="K546" s="4">
        <v>2610</v>
      </c>
    </row>
    <row r="547" spans="1:11">
      <c r="A547" s="2" t="s">
        <v>416</v>
      </c>
      <c r="B547" s="3" t="s">
        <v>104</v>
      </c>
      <c r="C547" s="3" t="s">
        <v>93</v>
      </c>
      <c r="D547" s="3" t="s">
        <v>110</v>
      </c>
      <c r="E547" s="3">
        <v>40</v>
      </c>
      <c r="F547" s="3">
        <v>111</v>
      </c>
      <c r="G547" s="3">
        <v>100</v>
      </c>
      <c r="H547" s="3">
        <v>55</v>
      </c>
      <c r="I547" s="4">
        <v>11100</v>
      </c>
      <c r="J547" s="4">
        <v>6105</v>
      </c>
      <c r="K547" s="4">
        <v>4995</v>
      </c>
    </row>
    <row r="548" spans="1:11">
      <c r="A548" s="2" t="s">
        <v>382</v>
      </c>
      <c r="B548" s="3" t="s">
        <v>103</v>
      </c>
      <c r="C548" s="3" t="s">
        <v>96</v>
      </c>
      <c r="D548" s="3" t="s">
        <v>110</v>
      </c>
      <c r="E548" s="3">
        <v>25</v>
      </c>
      <c r="F548" s="3">
        <v>19</v>
      </c>
      <c r="G548" s="3">
        <v>90</v>
      </c>
      <c r="H548" s="3">
        <v>50</v>
      </c>
      <c r="I548" s="4">
        <v>1710</v>
      </c>
      <c r="J548" s="4">
        <v>950</v>
      </c>
      <c r="K548" s="4">
        <v>760</v>
      </c>
    </row>
    <row r="549" spans="1:11">
      <c r="A549" s="2" t="s">
        <v>134</v>
      </c>
      <c r="B549" s="3" t="s">
        <v>103</v>
      </c>
      <c r="C549" s="3" t="s">
        <v>93</v>
      </c>
      <c r="D549" s="3" t="s">
        <v>110</v>
      </c>
      <c r="E549" s="3">
        <v>35</v>
      </c>
      <c r="F549" s="3">
        <v>135</v>
      </c>
      <c r="G549" s="3">
        <v>100</v>
      </c>
      <c r="H549" s="3">
        <v>55</v>
      </c>
      <c r="I549" s="4">
        <v>13500</v>
      </c>
      <c r="J549" s="4">
        <v>7425</v>
      </c>
      <c r="K549" s="4">
        <v>6075</v>
      </c>
    </row>
    <row r="550" spans="1:11">
      <c r="A550" s="2" t="s">
        <v>387</v>
      </c>
      <c r="B550" s="3" t="s">
        <v>105</v>
      </c>
      <c r="C550" s="3" t="s">
        <v>94</v>
      </c>
      <c r="D550" s="3" t="s">
        <v>111</v>
      </c>
      <c r="E550" s="3">
        <v>24</v>
      </c>
      <c r="F550" s="3">
        <v>14</v>
      </c>
      <c r="G550" s="3">
        <v>80</v>
      </c>
      <c r="H550" s="3">
        <v>45</v>
      </c>
      <c r="I550" s="4">
        <v>1120</v>
      </c>
      <c r="J550" s="4">
        <v>630</v>
      </c>
      <c r="K550" s="4">
        <v>490</v>
      </c>
    </row>
    <row r="551" spans="1:11">
      <c r="A551" s="2" t="s">
        <v>417</v>
      </c>
      <c r="B551" s="3" t="s">
        <v>103</v>
      </c>
      <c r="C551" s="3" t="s">
        <v>93</v>
      </c>
      <c r="D551" s="3" t="s">
        <v>111</v>
      </c>
      <c r="E551" s="3">
        <v>20</v>
      </c>
      <c r="F551" s="3">
        <v>36</v>
      </c>
      <c r="G551" s="3">
        <v>100</v>
      </c>
      <c r="H551" s="3">
        <v>55</v>
      </c>
      <c r="I551" s="4">
        <v>3600</v>
      </c>
      <c r="J551" s="4">
        <v>1980</v>
      </c>
      <c r="K551" s="4">
        <v>1620</v>
      </c>
    </row>
    <row r="552" spans="1:11">
      <c r="A552" s="2" t="s">
        <v>296</v>
      </c>
      <c r="B552" s="3" t="s">
        <v>103</v>
      </c>
      <c r="C552" s="3" t="s">
        <v>94</v>
      </c>
      <c r="D552" s="3" t="s">
        <v>112</v>
      </c>
      <c r="E552" s="3">
        <v>33</v>
      </c>
      <c r="F552" s="3">
        <v>68</v>
      </c>
      <c r="G552" s="3">
        <v>80</v>
      </c>
      <c r="H552" s="3">
        <v>45</v>
      </c>
      <c r="I552" s="4">
        <v>5440</v>
      </c>
      <c r="J552" s="4">
        <v>3060</v>
      </c>
      <c r="K552" s="4">
        <v>2380</v>
      </c>
    </row>
    <row r="553" spans="1:11">
      <c r="A553" s="2" t="s">
        <v>175</v>
      </c>
      <c r="B553" s="3" t="s">
        <v>104</v>
      </c>
      <c r="C553" s="3" t="s">
        <v>93</v>
      </c>
      <c r="D553" s="3" t="s">
        <v>111</v>
      </c>
      <c r="E553" s="3">
        <v>27</v>
      </c>
      <c r="F553" s="3">
        <v>40</v>
      </c>
      <c r="G553" s="3">
        <v>100</v>
      </c>
      <c r="H553" s="3">
        <v>55</v>
      </c>
      <c r="I553" s="4">
        <v>4000</v>
      </c>
      <c r="J553" s="4">
        <v>2200</v>
      </c>
      <c r="K553" s="4">
        <v>1800</v>
      </c>
    </row>
    <row r="554" spans="1:11">
      <c r="A554" s="2" t="s">
        <v>143</v>
      </c>
      <c r="B554" s="3" t="s">
        <v>103</v>
      </c>
      <c r="C554" s="3" t="s">
        <v>94</v>
      </c>
      <c r="D554" s="3" t="s">
        <v>111</v>
      </c>
      <c r="E554" s="3">
        <v>31</v>
      </c>
      <c r="F554" s="3">
        <v>40</v>
      </c>
      <c r="G554" s="3">
        <v>80</v>
      </c>
      <c r="H554" s="3">
        <v>45</v>
      </c>
      <c r="I554" s="4">
        <v>3200</v>
      </c>
      <c r="J554" s="4">
        <v>1800</v>
      </c>
      <c r="K554" s="4">
        <v>1400</v>
      </c>
    </row>
    <row r="555" spans="1:11">
      <c r="A555" s="2" t="s">
        <v>182</v>
      </c>
      <c r="B555" s="3" t="s">
        <v>103</v>
      </c>
      <c r="C555" s="3" t="s">
        <v>96</v>
      </c>
      <c r="D555" s="3" t="s">
        <v>111</v>
      </c>
      <c r="E555" s="3">
        <v>30</v>
      </c>
      <c r="F555" s="3">
        <v>50</v>
      </c>
      <c r="G555" s="3">
        <v>90</v>
      </c>
      <c r="H555" s="3">
        <v>50</v>
      </c>
      <c r="I555" s="4">
        <v>4500</v>
      </c>
      <c r="J555" s="4">
        <v>2500</v>
      </c>
      <c r="K555" s="4">
        <v>2000</v>
      </c>
    </row>
    <row r="556" spans="1:11">
      <c r="A556" s="2" t="s">
        <v>274</v>
      </c>
      <c r="B556" s="3" t="s">
        <v>105</v>
      </c>
      <c r="C556" s="3" t="s">
        <v>95</v>
      </c>
      <c r="D556" s="3" t="s">
        <v>110</v>
      </c>
      <c r="E556" s="3">
        <v>40</v>
      </c>
      <c r="F556" s="3">
        <v>130</v>
      </c>
      <c r="G556" s="3">
        <v>110</v>
      </c>
      <c r="H556" s="3">
        <v>60</v>
      </c>
      <c r="I556" s="4">
        <v>14300</v>
      </c>
      <c r="J556" s="4">
        <v>7800</v>
      </c>
      <c r="K556" s="4">
        <v>6500</v>
      </c>
    </row>
    <row r="557" spans="1:11">
      <c r="A557" s="2" t="s">
        <v>412</v>
      </c>
      <c r="B557" s="3" t="s">
        <v>103</v>
      </c>
      <c r="C557" s="3" t="s">
        <v>94</v>
      </c>
      <c r="D557" s="3" t="s">
        <v>110</v>
      </c>
      <c r="E557" s="3">
        <v>38</v>
      </c>
      <c r="F557" s="3">
        <v>50</v>
      </c>
      <c r="G557" s="3">
        <v>80</v>
      </c>
      <c r="H557" s="3">
        <v>45</v>
      </c>
      <c r="I557" s="4">
        <v>4000</v>
      </c>
      <c r="J557" s="4">
        <v>2250</v>
      </c>
      <c r="K557" s="4">
        <v>1750</v>
      </c>
    </row>
    <row r="558" spans="1:11">
      <c r="A558" s="2" t="s">
        <v>210</v>
      </c>
      <c r="B558" s="3" t="s">
        <v>103</v>
      </c>
      <c r="C558" s="3" t="s">
        <v>98</v>
      </c>
      <c r="D558" s="3" t="s">
        <v>110</v>
      </c>
      <c r="E558" s="3">
        <v>37</v>
      </c>
      <c r="F558" s="3">
        <v>122</v>
      </c>
      <c r="G558" s="3">
        <v>100</v>
      </c>
      <c r="H558" s="3">
        <v>55</v>
      </c>
      <c r="I558" s="4">
        <v>12200</v>
      </c>
      <c r="J558" s="4">
        <v>6710</v>
      </c>
      <c r="K558" s="4">
        <v>5490</v>
      </c>
    </row>
    <row r="559" spans="1:11">
      <c r="A559" s="2" t="s">
        <v>292</v>
      </c>
      <c r="B559" s="3" t="s">
        <v>103</v>
      </c>
      <c r="C559" s="3" t="s">
        <v>95</v>
      </c>
      <c r="D559" s="3" t="s">
        <v>110</v>
      </c>
      <c r="E559" s="3">
        <v>32</v>
      </c>
      <c r="F559" s="3">
        <v>78</v>
      </c>
      <c r="G559" s="3">
        <v>110</v>
      </c>
      <c r="H559" s="3">
        <v>60</v>
      </c>
      <c r="I559" s="4">
        <v>8580</v>
      </c>
      <c r="J559" s="4">
        <v>4680</v>
      </c>
      <c r="K559" s="4">
        <v>3900</v>
      </c>
    </row>
    <row r="560" spans="1:11">
      <c r="A560" s="2" t="s">
        <v>137</v>
      </c>
      <c r="B560" s="3" t="s">
        <v>104</v>
      </c>
      <c r="C560" s="3" t="s">
        <v>93</v>
      </c>
      <c r="D560" s="3" t="s">
        <v>110</v>
      </c>
      <c r="E560" s="3">
        <v>29</v>
      </c>
      <c r="F560" s="3">
        <v>61</v>
      </c>
      <c r="G560" s="3">
        <v>100</v>
      </c>
      <c r="H560" s="3">
        <v>55</v>
      </c>
      <c r="I560" s="4">
        <v>6100</v>
      </c>
      <c r="J560" s="4">
        <v>3355</v>
      </c>
      <c r="K560" s="4">
        <v>2745</v>
      </c>
    </row>
    <row r="561" spans="1:11">
      <c r="A561" s="2" t="s">
        <v>209</v>
      </c>
      <c r="B561" s="3" t="s">
        <v>103</v>
      </c>
      <c r="C561" s="3" t="s">
        <v>95</v>
      </c>
      <c r="D561" s="3" t="s">
        <v>111</v>
      </c>
      <c r="E561" s="3">
        <v>19</v>
      </c>
      <c r="F561" s="3">
        <v>42</v>
      </c>
      <c r="G561" s="3">
        <v>110</v>
      </c>
      <c r="H561" s="3">
        <v>60</v>
      </c>
      <c r="I561" s="4">
        <v>4620</v>
      </c>
      <c r="J561" s="4">
        <v>2520</v>
      </c>
      <c r="K561" s="4">
        <v>2100</v>
      </c>
    </row>
    <row r="562" spans="1:11">
      <c r="A562" s="2" t="s">
        <v>418</v>
      </c>
      <c r="B562" s="3" t="s">
        <v>104</v>
      </c>
      <c r="C562" s="3" t="s">
        <v>94</v>
      </c>
      <c r="D562" s="3" t="s">
        <v>111</v>
      </c>
      <c r="E562" s="3">
        <v>34</v>
      </c>
      <c r="F562" s="3">
        <v>35</v>
      </c>
      <c r="G562" s="3">
        <v>80</v>
      </c>
      <c r="H562" s="3">
        <v>45</v>
      </c>
      <c r="I562" s="4">
        <v>2800</v>
      </c>
      <c r="J562" s="4">
        <v>1575</v>
      </c>
      <c r="K562" s="4">
        <v>1225</v>
      </c>
    </row>
    <row r="563" spans="1:11">
      <c r="A563" s="2" t="s">
        <v>376</v>
      </c>
      <c r="B563" s="3" t="s">
        <v>104</v>
      </c>
      <c r="C563" s="3" t="s">
        <v>94</v>
      </c>
      <c r="D563" s="3" t="s">
        <v>111</v>
      </c>
      <c r="E563" s="3">
        <v>39</v>
      </c>
      <c r="F563" s="3">
        <v>183</v>
      </c>
      <c r="G563" s="3">
        <v>80</v>
      </c>
      <c r="H563" s="3">
        <v>45</v>
      </c>
      <c r="I563" s="4">
        <v>14640</v>
      </c>
      <c r="J563" s="4">
        <v>8235</v>
      </c>
      <c r="K563" s="4">
        <v>6405</v>
      </c>
    </row>
    <row r="564" spans="1:11">
      <c r="A564" s="2" t="s">
        <v>405</v>
      </c>
      <c r="B564" s="3" t="s">
        <v>105</v>
      </c>
      <c r="C564" s="3" t="s">
        <v>97</v>
      </c>
      <c r="D564" s="3" t="s">
        <v>112</v>
      </c>
      <c r="E564" s="3">
        <v>27</v>
      </c>
      <c r="F564" s="3">
        <v>25</v>
      </c>
      <c r="G564" s="3">
        <v>130</v>
      </c>
      <c r="H564" s="3">
        <v>70</v>
      </c>
      <c r="I564" s="4">
        <v>3250</v>
      </c>
      <c r="J564" s="4">
        <v>1750</v>
      </c>
      <c r="K564" s="4">
        <v>1500</v>
      </c>
    </row>
    <row r="565" spans="1:11">
      <c r="A565" s="2" t="s">
        <v>377</v>
      </c>
      <c r="B565" s="3" t="s">
        <v>103</v>
      </c>
      <c r="C565" s="3" t="s">
        <v>94</v>
      </c>
      <c r="D565" s="3" t="s">
        <v>110</v>
      </c>
      <c r="E565" s="3">
        <v>37</v>
      </c>
      <c r="F565" s="3">
        <v>169</v>
      </c>
      <c r="G565" s="3">
        <v>80</v>
      </c>
      <c r="H565" s="3">
        <v>45</v>
      </c>
      <c r="I565" s="4">
        <v>13520</v>
      </c>
      <c r="J565" s="4">
        <v>7605</v>
      </c>
      <c r="K565" s="4">
        <v>5915</v>
      </c>
    </row>
    <row r="566" spans="1:11">
      <c r="A566" s="2" t="s">
        <v>382</v>
      </c>
      <c r="B566" s="3" t="s">
        <v>103</v>
      </c>
      <c r="C566" s="3" t="s">
        <v>95</v>
      </c>
      <c r="D566" s="3" t="s">
        <v>111</v>
      </c>
      <c r="E566" s="3">
        <v>19</v>
      </c>
      <c r="F566" s="3">
        <v>12</v>
      </c>
      <c r="G566" s="3">
        <v>110</v>
      </c>
      <c r="H566" s="3">
        <v>60</v>
      </c>
      <c r="I566" s="4">
        <v>1320</v>
      </c>
      <c r="J566" s="4">
        <v>720</v>
      </c>
      <c r="K566" s="4">
        <v>600</v>
      </c>
    </row>
    <row r="567" spans="1:11">
      <c r="A567" s="2" t="s">
        <v>193</v>
      </c>
      <c r="B567" s="3" t="s">
        <v>105</v>
      </c>
      <c r="C567" s="3" t="s">
        <v>97</v>
      </c>
      <c r="D567" s="3" t="s">
        <v>110</v>
      </c>
      <c r="E567" s="3">
        <v>26</v>
      </c>
      <c r="F567" s="3">
        <v>101</v>
      </c>
      <c r="G567" s="3">
        <v>130</v>
      </c>
      <c r="H567" s="3">
        <v>70</v>
      </c>
      <c r="I567" s="4">
        <v>13130</v>
      </c>
      <c r="J567" s="4">
        <v>7070</v>
      </c>
      <c r="K567" s="4">
        <v>6060</v>
      </c>
    </row>
    <row r="568" spans="1:11">
      <c r="A568" s="2" t="s">
        <v>160</v>
      </c>
      <c r="B568" s="3" t="s">
        <v>104</v>
      </c>
      <c r="C568" s="3" t="s">
        <v>94</v>
      </c>
      <c r="D568" s="3" t="s">
        <v>110</v>
      </c>
      <c r="E568" s="3">
        <v>32</v>
      </c>
      <c r="F568" s="3">
        <v>189</v>
      </c>
      <c r="G568" s="3">
        <v>80</v>
      </c>
      <c r="H568" s="3">
        <v>45</v>
      </c>
      <c r="I568" s="4">
        <v>15120</v>
      </c>
      <c r="J568" s="4">
        <v>8505</v>
      </c>
      <c r="K568" s="4">
        <v>6615</v>
      </c>
    </row>
    <row r="569" spans="1:11">
      <c r="A569" s="2" t="s">
        <v>419</v>
      </c>
      <c r="B569" s="3" t="s">
        <v>106</v>
      </c>
      <c r="C569" s="3" t="s">
        <v>93</v>
      </c>
      <c r="D569" s="3" t="s">
        <v>111</v>
      </c>
      <c r="E569" s="3">
        <v>32</v>
      </c>
      <c r="F569" s="3">
        <v>169</v>
      </c>
      <c r="G569" s="3">
        <v>100</v>
      </c>
      <c r="H569" s="3">
        <v>55</v>
      </c>
      <c r="I569" s="4">
        <v>16900</v>
      </c>
      <c r="J569" s="4">
        <v>9295</v>
      </c>
      <c r="K569" s="4">
        <v>7605</v>
      </c>
    </row>
    <row r="570" spans="1:11">
      <c r="A570" s="2" t="s">
        <v>191</v>
      </c>
      <c r="B570" s="3" t="s">
        <v>103</v>
      </c>
      <c r="C570" s="3" t="s">
        <v>94</v>
      </c>
      <c r="D570" s="3" t="s">
        <v>111</v>
      </c>
      <c r="E570" s="3">
        <v>24</v>
      </c>
      <c r="F570" s="3">
        <v>11</v>
      </c>
      <c r="G570" s="3">
        <v>80</v>
      </c>
      <c r="H570" s="3">
        <v>45</v>
      </c>
      <c r="I570" s="4">
        <v>880</v>
      </c>
      <c r="J570" s="4">
        <v>495</v>
      </c>
      <c r="K570" s="4">
        <v>385</v>
      </c>
    </row>
    <row r="571" spans="1:11">
      <c r="A571" s="2" t="s">
        <v>247</v>
      </c>
      <c r="B571" s="3" t="s">
        <v>105</v>
      </c>
      <c r="C571" s="3" t="s">
        <v>96</v>
      </c>
      <c r="D571" s="3" t="s">
        <v>111</v>
      </c>
      <c r="E571" s="3">
        <v>32</v>
      </c>
      <c r="F571" s="3">
        <v>43</v>
      </c>
      <c r="G571" s="3">
        <v>90</v>
      </c>
      <c r="H571" s="3">
        <v>50</v>
      </c>
      <c r="I571" s="4">
        <v>3870</v>
      </c>
      <c r="J571" s="4">
        <v>2150</v>
      </c>
      <c r="K571" s="4">
        <v>1720</v>
      </c>
    </row>
    <row r="572" spans="1:11">
      <c r="A572" s="2" t="s">
        <v>420</v>
      </c>
      <c r="B572" s="3" t="s">
        <v>103</v>
      </c>
      <c r="C572" s="3" t="s">
        <v>95</v>
      </c>
      <c r="D572" s="3" t="s">
        <v>110</v>
      </c>
      <c r="E572" s="3">
        <v>41</v>
      </c>
      <c r="F572" s="3">
        <v>131</v>
      </c>
      <c r="G572" s="3">
        <v>110</v>
      </c>
      <c r="H572" s="3">
        <v>60</v>
      </c>
      <c r="I572" s="4">
        <v>14410</v>
      </c>
      <c r="J572" s="4">
        <v>7860</v>
      </c>
      <c r="K572" s="4">
        <v>6550</v>
      </c>
    </row>
    <row r="573" spans="1:11">
      <c r="A573" s="2" t="s">
        <v>389</v>
      </c>
      <c r="B573" s="3" t="s">
        <v>103</v>
      </c>
      <c r="C573" s="3" t="s">
        <v>97</v>
      </c>
      <c r="D573" s="3" t="s">
        <v>111</v>
      </c>
      <c r="E573" s="3">
        <v>19</v>
      </c>
      <c r="F573" s="3">
        <v>26</v>
      </c>
      <c r="G573" s="3">
        <v>130</v>
      </c>
      <c r="H573" s="3">
        <v>70</v>
      </c>
      <c r="I573" s="4">
        <v>3380</v>
      </c>
      <c r="J573" s="4">
        <v>1820</v>
      </c>
      <c r="K573" s="4">
        <v>1560</v>
      </c>
    </row>
    <row r="574" spans="1:11">
      <c r="A574" s="2" t="s">
        <v>178</v>
      </c>
      <c r="B574" s="3" t="s">
        <v>106</v>
      </c>
      <c r="C574" s="3" t="s">
        <v>96</v>
      </c>
      <c r="D574" s="3" t="s">
        <v>111</v>
      </c>
      <c r="E574" s="3">
        <v>27</v>
      </c>
      <c r="F574" s="3">
        <v>27</v>
      </c>
      <c r="G574" s="3">
        <v>90</v>
      </c>
      <c r="H574" s="3">
        <v>50</v>
      </c>
      <c r="I574" s="4">
        <v>2430</v>
      </c>
      <c r="J574" s="4">
        <v>1350</v>
      </c>
      <c r="K574" s="4">
        <v>1080</v>
      </c>
    </row>
    <row r="575" spans="1:11">
      <c r="A575" s="2" t="s">
        <v>421</v>
      </c>
      <c r="B575" s="3" t="s">
        <v>103</v>
      </c>
      <c r="C575" s="3" t="s">
        <v>96</v>
      </c>
      <c r="D575" s="3" t="s">
        <v>111</v>
      </c>
      <c r="E575" s="3">
        <v>27</v>
      </c>
      <c r="F575" s="3">
        <v>64</v>
      </c>
      <c r="G575" s="3">
        <v>90</v>
      </c>
      <c r="H575" s="3">
        <v>50</v>
      </c>
      <c r="I575" s="4">
        <v>5760</v>
      </c>
      <c r="J575" s="4">
        <v>3200</v>
      </c>
      <c r="K575" s="4">
        <v>2560</v>
      </c>
    </row>
    <row r="576" spans="1:11">
      <c r="A576" s="2" t="s">
        <v>165</v>
      </c>
      <c r="B576" s="3" t="s">
        <v>105</v>
      </c>
      <c r="C576" s="3" t="s">
        <v>96</v>
      </c>
      <c r="D576" s="3" t="s">
        <v>110</v>
      </c>
      <c r="E576" s="3">
        <v>37</v>
      </c>
      <c r="F576" s="3">
        <v>88</v>
      </c>
      <c r="G576" s="3">
        <v>90</v>
      </c>
      <c r="H576" s="3">
        <v>50</v>
      </c>
      <c r="I576" s="4">
        <v>7920</v>
      </c>
      <c r="J576" s="4">
        <v>4400</v>
      </c>
      <c r="K576" s="4">
        <v>3520</v>
      </c>
    </row>
    <row r="577" spans="1:11">
      <c r="A577" s="2" t="s">
        <v>367</v>
      </c>
      <c r="B577" s="3" t="s">
        <v>103</v>
      </c>
      <c r="C577" s="3" t="s">
        <v>93</v>
      </c>
      <c r="D577" s="3" t="s">
        <v>111</v>
      </c>
      <c r="E577" s="3">
        <v>20</v>
      </c>
      <c r="F577" s="3">
        <v>29</v>
      </c>
      <c r="G577" s="3">
        <v>100</v>
      </c>
      <c r="H577" s="3">
        <v>55</v>
      </c>
      <c r="I577" s="4">
        <v>2900</v>
      </c>
      <c r="J577" s="4">
        <v>1595</v>
      </c>
      <c r="K577" s="4">
        <v>1305</v>
      </c>
    </row>
    <row r="578" spans="1:11">
      <c r="A578" s="2" t="s">
        <v>422</v>
      </c>
      <c r="B578" s="3" t="s">
        <v>103</v>
      </c>
      <c r="C578" s="3" t="s">
        <v>93</v>
      </c>
      <c r="D578" s="3" t="s">
        <v>112</v>
      </c>
      <c r="E578" s="3">
        <v>27</v>
      </c>
      <c r="F578" s="3">
        <v>24</v>
      </c>
      <c r="G578" s="3">
        <v>100</v>
      </c>
      <c r="H578" s="3">
        <v>55</v>
      </c>
      <c r="I578" s="4">
        <v>2400</v>
      </c>
      <c r="J578" s="4">
        <v>1320</v>
      </c>
      <c r="K578" s="4">
        <v>1080</v>
      </c>
    </row>
    <row r="579" spans="1:11">
      <c r="A579" s="2" t="s">
        <v>273</v>
      </c>
      <c r="B579" s="3" t="s">
        <v>105</v>
      </c>
      <c r="C579" s="3" t="s">
        <v>95</v>
      </c>
      <c r="D579" s="3" t="s">
        <v>110</v>
      </c>
      <c r="E579" s="3">
        <v>33</v>
      </c>
      <c r="F579" s="3">
        <v>149</v>
      </c>
      <c r="G579" s="3">
        <v>110</v>
      </c>
      <c r="H579" s="3">
        <v>60</v>
      </c>
      <c r="I579" s="4">
        <v>16390</v>
      </c>
      <c r="J579" s="4">
        <v>8940</v>
      </c>
      <c r="K579" s="4">
        <v>7450</v>
      </c>
    </row>
    <row r="580" spans="1:11">
      <c r="A580" s="2" t="s">
        <v>199</v>
      </c>
      <c r="B580" s="3" t="s">
        <v>104</v>
      </c>
      <c r="C580" s="3" t="s">
        <v>94</v>
      </c>
      <c r="D580" s="3" t="s">
        <v>111</v>
      </c>
      <c r="E580" s="3">
        <v>37</v>
      </c>
      <c r="F580" s="3">
        <v>108</v>
      </c>
      <c r="G580" s="3">
        <v>80</v>
      </c>
      <c r="H580" s="3">
        <v>45</v>
      </c>
      <c r="I580" s="4">
        <v>8640</v>
      </c>
      <c r="J580" s="4">
        <v>4860</v>
      </c>
      <c r="K580" s="4">
        <v>3780</v>
      </c>
    </row>
    <row r="581" spans="1:11">
      <c r="A581" s="2" t="s">
        <v>423</v>
      </c>
      <c r="B581" s="3" t="s">
        <v>105</v>
      </c>
      <c r="C581" s="3" t="s">
        <v>94</v>
      </c>
      <c r="D581" s="3" t="s">
        <v>111</v>
      </c>
      <c r="E581" s="3">
        <v>34</v>
      </c>
      <c r="F581" s="3">
        <v>59</v>
      </c>
      <c r="G581" s="3">
        <v>80</v>
      </c>
      <c r="H581" s="3">
        <v>45</v>
      </c>
      <c r="I581" s="4">
        <v>4720</v>
      </c>
      <c r="J581" s="4">
        <v>2655</v>
      </c>
      <c r="K581" s="4">
        <v>2065</v>
      </c>
    </row>
    <row r="582" spans="1:11">
      <c r="A582" s="2" t="s">
        <v>322</v>
      </c>
      <c r="B582" s="3" t="s">
        <v>104</v>
      </c>
      <c r="C582" s="3" t="s">
        <v>96</v>
      </c>
      <c r="D582" s="3" t="s">
        <v>112</v>
      </c>
      <c r="E582" s="3">
        <v>29</v>
      </c>
      <c r="F582" s="3">
        <v>38</v>
      </c>
      <c r="G582" s="3">
        <v>90</v>
      </c>
      <c r="H582" s="3">
        <v>50</v>
      </c>
      <c r="I582" s="4">
        <v>3420</v>
      </c>
      <c r="J582" s="4">
        <v>1900</v>
      </c>
      <c r="K582" s="4">
        <v>1520</v>
      </c>
    </row>
    <row r="583" spans="1:11">
      <c r="A583" s="2" t="s">
        <v>424</v>
      </c>
      <c r="B583" s="3" t="s">
        <v>104</v>
      </c>
      <c r="C583" s="3" t="s">
        <v>97</v>
      </c>
      <c r="D583" s="3" t="s">
        <v>111</v>
      </c>
      <c r="E583" s="3">
        <v>37</v>
      </c>
      <c r="F583" s="3">
        <v>155</v>
      </c>
      <c r="G583" s="3">
        <v>130</v>
      </c>
      <c r="H583" s="3">
        <v>70</v>
      </c>
      <c r="I583" s="4">
        <v>20150</v>
      </c>
      <c r="J583" s="4">
        <v>10850</v>
      </c>
      <c r="K583" s="4">
        <v>9300</v>
      </c>
    </row>
    <row r="584" spans="1:11">
      <c r="A584" s="2" t="s">
        <v>278</v>
      </c>
      <c r="B584" s="3" t="s">
        <v>104</v>
      </c>
      <c r="C584" s="3" t="s">
        <v>95</v>
      </c>
      <c r="D584" s="3" t="s">
        <v>111</v>
      </c>
      <c r="E584" s="3">
        <v>40</v>
      </c>
      <c r="F584" s="3">
        <v>134</v>
      </c>
      <c r="G584" s="3">
        <v>110</v>
      </c>
      <c r="H584" s="3">
        <v>60</v>
      </c>
      <c r="I584" s="4">
        <v>14740</v>
      </c>
      <c r="J584" s="4">
        <v>8040</v>
      </c>
      <c r="K584" s="4">
        <v>6700</v>
      </c>
    </row>
    <row r="585" spans="1:11">
      <c r="A585" s="2" t="s">
        <v>303</v>
      </c>
      <c r="B585" s="3" t="s">
        <v>104</v>
      </c>
      <c r="C585" s="3" t="s">
        <v>98</v>
      </c>
      <c r="D585" s="3" t="s">
        <v>110</v>
      </c>
      <c r="E585" s="3">
        <v>33</v>
      </c>
      <c r="F585" s="3">
        <v>48</v>
      </c>
      <c r="G585" s="3">
        <v>100</v>
      </c>
      <c r="H585" s="3">
        <v>55</v>
      </c>
      <c r="I585" s="4">
        <v>4800</v>
      </c>
      <c r="J585" s="4">
        <v>2640</v>
      </c>
      <c r="K585" s="4">
        <v>2160</v>
      </c>
    </row>
    <row r="586" spans="1:11">
      <c r="A586" s="2" t="s">
        <v>156</v>
      </c>
      <c r="B586" s="3" t="s">
        <v>105</v>
      </c>
      <c r="C586" s="3" t="s">
        <v>96</v>
      </c>
      <c r="D586" s="3" t="s">
        <v>110</v>
      </c>
      <c r="E586" s="3">
        <v>25</v>
      </c>
      <c r="F586" s="3">
        <v>29</v>
      </c>
      <c r="G586" s="3">
        <v>90</v>
      </c>
      <c r="H586" s="3">
        <v>50</v>
      </c>
      <c r="I586" s="4">
        <v>2610</v>
      </c>
      <c r="J586" s="4">
        <v>1450</v>
      </c>
      <c r="K586" s="4">
        <v>1160</v>
      </c>
    </row>
    <row r="587" spans="1:11">
      <c r="A587" s="2" t="s">
        <v>281</v>
      </c>
      <c r="B587" s="3" t="s">
        <v>106</v>
      </c>
      <c r="C587" s="3" t="s">
        <v>94</v>
      </c>
      <c r="D587" s="3" t="s">
        <v>111</v>
      </c>
      <c r="E587" s="3">
        <v>26</v>
      </c>
      <c r="F587" s="3">
        <v>76</v>
      </c>
      <c r="G587" s="3">
        <v>80</v>
      </c>
      <c r="H587" s="3">
        <v>45</v>
      </c>
      <c r="I587" s="4">
        <v>6080</v>
      </c>
      <c r="J587" s="4">
        <v>3420</v>
      </c>
      <c r="K587" s="4">
        <v>2660</v>
      </c>
    </row>
    <row r="588" spans="1:11">
      <c r="A588" s="2" t="s">
        <v>260</v>
      </c>
      <c r="B588" s="3" t="s">
        <v>103</v>
      </c>
      <c r="C588" s="3" t="s">
        <v>93</v>
      </c>
      <c r="D588" s="3" t="s">
        <v>110</v>
      </c>
      <c r="E588" s="3">
        <v>20</v>
      </c>
      <c r="F588" s="3">
        <v>59</v>
      </c>
      <c r="G588" s="3">
        <v>100</v>
      </c>
      <c r="H588" s="3">
        <v>55</v>
      </c>
      <c r="I588" s="4">
        <v>5900</v>
      </c>
      <c r="J588" s="4">
        <v>3245</v>
      </c>
      <c r="K588" s="4">
        <v>2655</v>
      </c>
    </row>
    <row r="589" spans="1:11">
      <c r="A589" s="2" t="s">
        <v>191</v>
      </c>
      <c r="B589" s="3" t="s">
        <v>105</v>
      </c>
      <c r="C589" s="3" t="s">
        <v>96</v>
      </c>
      <c r="D589" s="3" t="s">
        <v>110</v>
      </c>
      <c r="E589" s="3">
        <v>24</v>
      </c>
      <c r="F589" s="3">
        <v>57</v>
      </c>
      <c r="G589" s="3">
        <v>90</v>
      </c>
      <c r="H589" s="3">
        <v>50</v>
      </c>
      <c r="I589" s="4">
        <v>5130</v>
      </c>
      <c r="J589" s="4">
        <v>2850</v>
      </c>
      <c r="K589" s="4">
        <v>2280</v>
      </c>
    </row>
    <row r="590" spans="1:11">
      <c r="A590" s="2" t="s">
        <v>351</v>
      </c>
      <c r="B590" s="3" t="s">
        <v>104</v>
      </c>
      <c r="C590" s="3" t="s">
        <v>98</v>
      </c>
      <c r="D590" s="3" t="s">
        <v>110</v>
      </c>
      <c r="E590" s="3">
        <v>39</v>
      </c>
      <c r="F590" s="3">
        <v>112</v>
      </c>
      <c r="G590" s="3">
        <v>100</v>
      </c>
      <c r="H590" s="3">
        <v>55</v>
      </c>
      <c r="I590" s="4">
        <v>11200</v>
      </c>
      <c r="J590" s="4">
        <v>6160</v>
      </c>
      <c r="K590" s="4">
        <v>5040</v>
      </c>
    </row>
    <row r="591" spans="1:11">
      <c r="A591" s="2" t="s">
        <v>362</v>
      </c>
      <c r="B591" s="3" t="s">
        <v>104</v>
      </c>
      <c r="C591" s="3" t="s">
        <v>93</v>
      </c>
      <c r="D591" s="3" t="s">
        <v>110</v>
      </c>
      <c r="E591" s="3">
        <v>39</v>
      </c>
      <c r="F591" s="3">
        <v>140</v>
      </c>
      <c r="G591" s="3">
        <v>100</v>
      </c>
      <c r="H591" s="3">
        <v>55</v>
      </c>
      <c r="I591" s="4">
        <v>14000</v>
      </c>
      <c r="J591" s="4">
        <v>7700</v>
      </c>
      <c r="K591" s="4">
        <v>6300</v>
      </c>
    </row>
    <row r="592" spans="1:11">
      <c r="A592" s="2" t="s">
        <v>246</v>
      </c>
      <c r="B592" s="3" t="s">
        <v>104</v>
      </c>
      <c r="C592" s="3" t="s">
        <v>95</v>
      </c>
      <c r="D592" s="3" t="s">
        <v>110</v>
      </c>
      <c r="E592" s="3">
        <v>40</v>
      </c>
      <c r="F592" s="3">
        <v>156</v>
      </c>
      <c r="G592" s="3">
        <v>110</v>
      </c>
      <c r="H592" s="3">
        <v>60</v>
      </c>
      <c r="I592" s="4">
        <v>17160</v>
      </c>
      <c r="J592" s="4">
        <v>9360</v>
      </c>
      <c r="K592" s="4">
        <v>7800</v>
      </c>
    </row>
    <row r="593" spans="1:11">
      <c r="A593" s="2" t="s">
        <v>286</v>
      </c>
      <c r="B593" s="3" t="s">
        <v>104</v>
      </c>
      <c r="C593" s="3" t="s">
        <v>93</v>
      </c>
      <c r="D593" s="3" t="s">
        <v>112</v>
      </c>
      <c r="E593" s="3">
        <v>27</v>
      </c>
      <c r="F593" s="3">
        <v>38</v>
      </c>
      <c r="G593" s="3">
        <v>100</v>
      </c>
      <c r="H593" s="3">
        <v>55</v>
      </c>
      <c r="I593" s="4">
        <v>3800</v>
      </c>
      <c r="J593" s="4">
        <v>2090</v>
      </c>
      <c r="K593" s="4">
        <v>1710</v>
      </c>
    </row>
    <row r="594" spans="1:11">
      <c r="A594" s="2" t="s">
        <v>425</v>
      </c>
      <c r="B594" s="3" t="s">
        <v>104</v>
      </c>
      <c r="C594" s="3" t="s">
        <v>95</v>
      </c>
      <c r="D594" s="3" t="s">
        <v>112</v>
      </c>
      <c r="E594" s="3">
        <v>31</v>
      </c>
      <c r="F594" s="3">
        <v>89</v>
      </c>
      <c r="G594" s="3">
        <v>110</v>
      </c>
      <c r="H594" s="3">
        <v>60</v>
      </c>
      <c r="I594" s="4">
        <v>9790</v>
      </c>
      <c r="J594" s="4">
        <v>5340</v>
      </c>
      <c r="K594" s="4">
        <v>4450</v>
      </c>
    </row>
    <row r="595" spans="1:11">
      <c r="A595" s="2" t="s">
        <v>376</v>
      </c>
      <c r="B595" s="3" t="s">
        <v>105</v>
      </c>
      <c r="C595" s="3" t="s">
        <v>93</v>
      </c>
      <c r="D595" s="3" t="s">
        <v>112</v>
      </c>
      <c r="E595" s="3">
        <v>33</v>
      </c>
      <c r="F595" s="3">
        <v>141</v>
      </c>
      <c r="G595" s="3">
        <v>100</v>
      </c>
      <c r="H595" s="3">
        <v>55</v>
      </c>
      <c r="I595" s="4">
        <v>14100</v>
      </c>
      <c r="J595" s="4">
        <v>7755</v>
      </c>
      <c r="K595" s="4">
        <v>6345</v>
      </c>
    </row>
    <row r="596" spans="1:11">
      <c r="A596" s="2" t="s">
        <v>342</v>
      </c>
      <c r="B596" s="3" t="s">
        <v>105</v>
      </c>
      <c r="C596" s="3" t="s">
        <v>96</v>
      </c>
      <c r="D596" s="3" t="s">
        <v>111</v>
      </c>
      <c r="E596" s="3">
        <v>21</v>
      </c>
      <c r="F596" s="3">
        <v>22</v>
      </c>
      <c r="G596" s="3">
        <v>90</v>
      </c>
      <c r="H596" s="3">
        <v>50</v>
      </c>
      <c r="I596" s="4">
        <v>1980</v>
      </c>
      <c r="J596" s="4">
        <v>1100</v>
      </c>
      <c r="K596" s="4">
        <v>880</v>
      </c>
    </row>
    <row r="597" spans="1:11">
      <c r="A597" s="2" t="s">
        <v>234</v>
      </c>
      <c r="B597" s="3" t="s">
        <v>103</v>
      </c>
      <c r="C597" s="3" t="s">
        <v>96</v>
      </c>
      <c r="D597" s="3" t="s">
        <v>110</v>
      </c>
      <c r="E597" s="3">
        <v>26</v>
      </c>
      <c r="F597" s="3">
        <v>97</v>
      </c>
      <c r="G597" s="3">
        <v>90</v>
      </c>
      <c r="H597" s="3">
        <v>50</v>
      </c>
      <c r="I597" s="4">
        <v>8730</v>
      </c>
      <c r="J597" s="4">
        <v>4850</v>
      </c>
      <c r="K597" s="4">
        <v>3880</v>
      </c>
    </row>
    <row r="598" spans="1:11">
      <c r="A598" s="2" t="s">
        <v>221</v>
      </c>
      <c r="B598" s="3" t="s">
        <v>103</v>
      </c>
      <c r="C598" s="3" t="s">
        <v>95</v>
      </c>
      <c r="D598" s="3" t="s">
        <v>110</v>
      </c>
      <c r="E598" s="3">
        <v>23</v>
      </c>
      <c r="F598" s="3">
        <v>47</v>
      </c>
      <c r="G598" s="3">
        <v>110</v>
      </c>
      <c r="H598" s="3">
        <v>60</v>
      </c>
      <c r="I598" s="4">
        <v>5170</v>
      </c>
      <c r="J598" s="4">
        <v>2820</v>
      </c>
      <c r="K598" s="4">
        <v>2350</v>
      </c>
    </row>
    <row r="599" spans="1:11">
      <c r="A599" s="2" t="s">
        <v>426</v>
      </c>
      <c r="B599" s="3" t="s">
        <v>103</v>
      </c>
      <c r="C599" s="3" t="s">
        <v>94</v>
      </c>
      <c r="D599" s="3" t="s">
        <v>110</v>
      </c>
      <c r="E599" s="3">
        <v>19</v>
      </c>
      <c r="F599" s="3">
        <v>30</v>
      </c>
      <c r="G599" s="3">
        <v>80</v>
      </c>
      <c r="H599" s="3">
        <v>45</v>
      </c>
      <c r="I599" s="4">
        <v>2400</v>
      </c>
      <c r="J599" s="4">
        <v>1350</v>
      </c>
      <c r="K599" s="4">
        <v>1050</v>
      </c>
    </row>
    <row r="600" spans="1:11">
      <c r="A600" s="2" t="s">
        <v>356</v>
      </c>
      <c r="B600" s="3" t="s">
        <v>104</v>
      </c>
      <c r="C600" s="3" t="s">
        <v>98</v>
      </c>
      <c r="D600" s="3" t="s">
        <v>111</v>
      </c>
      <c r="E600" s="3">
        <v>35</v>
      </c>
      <c r="F600" s="3">
        <v>178</v>
      </c>
      <c r="G600" s="3">
        <v>100</v>
      </c>
      <c r="H600" s="3">
        <v>55</v>
      </c>
      <c r="I600" s="4">
        <v>17800</v>
      </c>
      <c r="J600" s="4">
        <v>9790</v>
      </c>
      <c r="K600" s="4">
        <v>8010</v>
      </c>
    </row>
    <row r="601" spans="1:11">
      <c r="A601" s="2" t="s">
        <v>427</v>
      </c>
      <c r="B601" s="3" t="s">
        <v>104</v>
      </c>
      <c r="C601" s="3" t="s">
        <v>94</v>
      </c>
      <c r="D601" s="3" t="s">
        <v>111</v>
      </c>
      <c r="E601" s="3">
        <v>41</v>
      </c>
      <c r="F601" s="3">
        <v>70</v>
      </c>
      <c r="G601" s="3">
        <v>80</v>
      </c>
      <c r="H601" s="3">
        <v>45</v>
      </c>
      <c r="I601" s="4">
        <v>5600</v>
      </c>
      <c r="J601" s="4">
        <v>3150</v>
      </c>
      <c r="K601" s="4">
        <v>2450</v>
      </c>
    </row>
    <row r="602" spans="1:11">
      <c r="A602" s="2" t="s">
        <v>400</v>
      </c>
      <c r="B602" s="3" t="s">
        <v>106</v>
      </c>
      <c r="C602" s="3" t="s">
        <v>98</v>
      </c>
      <c r="D602" s="3" t="s">
        <v>110</v>
      </c>
      <c r="E602" s="3">
        <v>30</v>
      </c>
      <c r="F602" s="3">
        <v>84</v>
      </c>
      <c r="G602" s="3">
        <v>100</v>
      </c>
      <c r="H602" s="3">
        <v>55</v>
      </c>
      <c r="I602" s="4">
        <v>8400</v>
      </c>
      <c r="J602" s="4">
        <v>4620</v>
      </c>
      <c r="K602" s="4">
        <v>3780</v>
      </c>
    </row>
    <row r="603" spans="1:11">
      <c r="A603" s="2" t="s">
        <v>184</v>
      </c>
      <c r="B603" s="3" t="s">
        <v>104</v>
      </c>
      <c r="C603" s="3" t="s">
        <v>96</v>
      </c>
      <c r="D603" s="3" t="s">
        <v>110</v>
      </c>
      <c r="E603" s="3">
        <v>26</v>
      </c>
      <c r="F603" s="3">
        <v>109</v>
      </c>
      <c r="G603" s="3">
        <v>90</v>
      </c>
      <c r="H603" s="3">
        <v>50</v>
      </c>
      <c r="I603" s="4">
        <v>9810</v>
      </c>
      <c r="J603" s="4">
        <v>5450</v>
      </c>
      <c r="K603" s="4">
        <v>4360</v>
      </c>
    </row>
    <row r="604" spans="1:11">
      <c r="A604" s="2" t="s">
        <v>404</v>
      </c>
      <c r="B604" s="3" t="s">
        <v>103</v>
      </c>
      <c r="C604" s="3" t="s">
        <v>97</v>
      </c>
      <c r="D604" s="3" t="s">
        <v>111</v>
      </c>
      <c r="E604" s="3">
        <v>31</v>
      </c>
      <c r="F604" s="3">
        <v>68</v>
      </c>
      <c r="G604" s="3">
        <v>130</v>
      </c>
      <c r="H604" s="3">
        <v>70</v>
      </c>
      <c r="I604" s="4">
        <v>8840</v>
      </c>
      <c r="J604" s="4">
        <v>4760</v>
      </c>
      <c r="K604" s="4">
        <v>4080</v>
      </c>
    </row>
    <row r="605" spans="1:11">
      <c r="A605" s="2" t="s">
        <v>224</v>
      </c>
      <c r="B605" s="3" t="s">
        <v>106</v>
      </c>
      <c r="C605" s="3" t="s">
        <v>95</v>
      </c>
      <c r="D605" s="3" t="s">
        <v>110</v>
      </c>
      <c r="E605" s="3">
        <v>37</v>
      </c>
      <c r="F605" s="3">
        <v>106</v>
      </c>
      <c r="G605" s="3">
        <v>110</v>
      </c>
      <c r="H605" s="3">
        <v>60</v>
      </c>
      <c r="I605" s="4">
        <v>11660</v>
      </c>
      <c r="J605" s="4">
        <v>6360</v>
      </c>
      <c r="K605" s="4">
        <v>5300</v>
      </c>
    </row>
    <row r="606" spans="1:11">
      <c r="A606" s="2" t="s">
        <v>264</v>
      </c>
      <c r="B606" s="3" t="s">
        <v>104</v>
      </c>
      <c r="C606" s="3" t="s">
        <v>93</v>
      </c>
      <c r="D606" s="3" t="s">
        <v>111</v>
      </c>
      <c r="E606" s="3">
        <v>26</v>
      </c>
      <c r="F606" s="3">
        <v>52</v>
      </c>
      <c r="G606" s="3">
        <v>100</v>
      </c>
      <c r="H606" s="3">
        <v>55</v>
      </c>
      <c r="I606" s="4">
        <v>5200</v>
      </c>
      <c r="J606" s="4">
        <v>2860</v>
      </c>
      <c r="K606" s="4">
        <v>2340</v>
      </c>
    </row>
    <row r="607" spans="1:11">
      <c r="A607" s="2" t="s">
        <v>428</v>
      </c>
      <c r="B607" s="3" t="s">
        <v>105</v>
      </c>
      <c r="C607" s="3" t="s">
        <v>94</v>
      </c>
      <c r="D607" s="3" t="s">
        <v>111</v>
      </c>
      <c r="E607" s="3">
        <v>31</v>
      </c>
      <c r="F607" s="3">
        <v>47</v>
      </c>
      <c r="G607" s="3">
        <v>80</v>
      </c>
      <c r="H607" s="3">
        <v>45</v>
      </c>
      <c r="I607" s="4">
        <v>3760</v>
      </c>
      <c r="J607" s="4">
        <v>2115</v>
      </c>
      <c r="K607" s="4">
        <v>1645</v>
      </c>
    </row>
    <row r="608" spans="1:11">
      <c r="A608" s="2" t="s">
        <v>271</v>
      </c>
      <c r="B608" s="3" t="s">
        <v>103</v>
      </c>
      <c r="C608" s="3" t="s">
        <v>94</v>
      </c>
      <c r="D608" s="3" t="s">
        <v>110</v>
      </c>
      <c r="E608" s="3">
        <v>28</v>
      </c>
      <c r="F608" s="3">
        <v>71</v>
      </c>
      <c r="G608" s="3">
        <v>80</v>
      </c>
      <c r="H608" s="3">
        <v>45</v>
      </c>
      <c r="I608" s="4">
        <v>5680</v>
      </c>
      <c r="J608" s="4">
        <v>3195</v>
      </c>
      <c r="K608" s="4">
        <v>2485</v>
      </c>
    </row>
    <row r="609" spans="1:11">
      <c r="A609" s="2" t="s">
        <v>135</v>
      </c>
      <c r="B609" s="3" t="s">
        <v>103</v>
      </c>
      <c r="C609" s="3" t="s">
        <v>93</v>
      </c>
      <c r="D609" s="3" t="s">
        <v>110</v>
      </c>
      <c r="E609" s="3">
        <v>38</v>
      </c>
      <c r="F609" s="3">
        <v>77</v>
      </c>
      <c r="G609" s="3">
        <v>100</v>
      </c>
      <c r="H609" s="3">
        <v>55</v>
      </c>
      <c r="I609" s="4">
        <v>7700</v>
      </c>
      <c r="J609" s="4">
        <v>4235</v>
      </c>
      <c r="K609" s="4">
        <v>3465</v>
      </c>
    </row>
    <row r="610" spans="1:11">
      <c r="A610" s="2" t="s">
        <v>428</v>
      </c>
      <c r="B610" s="3" t="s">
        <v>103</v>
      </c>
      <c r="C610" s="3" t="s">
        <v>94</v>
      </c>
      <c r="D610" s="3" t="s">
        <v>110</v>
      </c>
      <c r="E610" s="3">
        <v>33</v>
      </c>
      <c r="F610" s="3">
        <v>57</v>
      </c>
      <c r="G610" s="3">
        <v>80</v>
      </c>
      <c r="H610" s="3">
        <v>45</v>
      </c>
      <c r="I610" s="4">
        <v>4560</v>
      </c>
      <c r="J610" s="4">
        <v>2565</v>
      </c>
      <c r="K610" s="4">
        <v>1995</v>
      </c>
    </row>
    <row r="611" spans="1:11">
      <c r="A611" s="2" t="s">
        <v>306</v>
      </c>
      <c r="B611" s="3" t="s">
        <v>104</v>
      </c>
      <c r="C611" s="3" t="s">
        <v>97</v>
      </c>
      <c r="D611" s="3" t="s">
        <v>111</v>
      </c>
      <c r="E611" s="3">
        <v>34</v>
      </c>
      <c r="F611" s="3">
        <v>68</v>
      </c>
      <c r="G611" s="3">
        <v>130</v>
      </c>
      <c r="H611" s="3">
        <v>70</v>
      </c>
      <c r="I611" s="4">
        <v>8840</v>
      </c>
      <c r="J611" s="4">
        <v>4760</v>
      </c>
      <c r="K611" s="4">
        <v>4080</v>
      </c>
    </row>
    <row r="612" spans="1:11">
      <c r="A612" s="2" t="s">
        <v>275</v>
      </c>
      <c r="B612" s="3" t="s">
        <v>105</v>
      </c>
      <c r="C612" s="3" t="s">
        <v>93</v>
      </c>
      <c r="D612" s="3" t="s">
        <v>110</v>
      </c>
      <c r="E612" s="3">
        <v>20</v>
      </c>
      <c r="F612" s="3">
        <v>43</v>
      </c>
      <c r="G612" s="3">
        <v>100</v>
      </c>
      <c r="H612" s="3">
        <v>55</v>
      </c>
      <c r="I612" s="4">
        <v>4300</v>
      </c>
      <c r="J612" s="4">
        <v>2365</v>
      </c>
      <c r="K612" s="4">
        <v>1935</v>
      </c>
    </row>
    <row r="613" spans="1:11">
      <c r="A613" s="2" t="s">
        <v>403</v>
      </c>
      <c r="B613" s="3" t="s">
        <v>105</v>
      </c>
      <c r="C613" s="3" t="s">
        <v>98</v>
      </c>
      <c r="D613" s="3" t="s">
        <v>111</v>
      </c>
      <c r="E613" s="3">
        <v>32</v>
      </c>
      <c r="F613" s="3">
        <v>97</v>
      </c>
      <c r="G613" s="3">
        <v>100</v>
      </c>
      <c r="H613" s="3">
        <v>55</v>
      </c>
      <c r="I613" s="4">
        <v>9700</v>
      </c>
      <c r="J613" s="4">
        <v>5335</v>
      </c>
      <c r="K613" s="4">
        <v>4365</v>
      </c>
    </row>
    <row r="614" spans="1:11">
      <c r="A614" s="2" t="s">
        <v>429</v>
      </c>
      <c r="B614" s="3" t="s">
        <v>103</v>
      </c>
      <c r="C614" s="3" t="s">
        <v>94</v>
      </c>
      <c r="D614" s="3" t="s">
        <v>110</v>
      </c>
      <c r="E614" s="3">
        <v>26</v>
      </c>
      <c r="F614" s="3">
        <v>55</v>
      </c>
      <c r="G614" s="3">
        <v>80</v>
      </c>
      <c r="H614" s="3">
        <v>45</v>
      </c>
      <c r="I614" s="4">
        <v>4400</v>
      </c>
      <c r="J614" s="4">
        <v>2475</v>
      </c>
      <c r="K614" s="4">
        <v>1925</v>
      </c>
    </row>
    <row r="615" spans="1:11">
      <c r="A615" s="2" t="s">
        <v>430</v>
      </c>
      <c r="B615" s="3" t="s">
        <v>105</v>
      </c>
      <c r="C615" s="3" t="s">
        <v>94</v>
      </c>
      <c r="D615" s="3" t="s">
        <v>111</v>
      </c>
      <c r="E615" s="3">
        <v>32</v>
      </c>
      <c r="F615" s="3">
        <v>107</v>
      </c>
      <c r="G615" s="3">
        <v>80</v>
      </c>
      <c r="H615" s="3">
        <v>45</v>
      </c>
      <c r="I615" s="4">
        <v>8560</v>
      </c>
      <c r="J615" s="4">
        <v>4815</v>
      </c>
      <c r="K615" s="4">
        <v>3745</v>
      </c>
    </row>
    <row r="616" spans="1:11">
      <c r="A616" s="2" t="s">
        <v>134</v>
      </c>
      <c r="B616" s="3" t="s">
        <v>103</v>
      </c>
      <c r="C616" s="3" t="s">
        <v>93</v>
      </c>
      <c r="D616" s="3" t="s">
        <v>111</v>
      </c>
      <c r="E616" s="3">
        <v>34</v>
      </c>
      <c r="F616" s="3">
        <v>74</v>
      </c>
      <c r="G616" s="3">
        <v>100</v>
      </c>
      <c r="H616" s="3">
        <v>55</v>
      </c>
      <c r="I616" s="4">
        <v>7400</v>
      </c>
      <c r="J616" s="4">
        <v>4070</v>
      </c>
      <c r="K616" s="4">
        <v>3330</v>
      </c>
    </row>
    <row r="617" spans="1:11">
      <c r="A617" s="2" t="s">
        <v>431</v>
      </c>
      <c r="B617" s="3" t="s">
        <v>103</v>
      </c>
      <c r="C617" s="3" t="s">
        <v>98</v>
      </c>
      <c r="D617" s="3" t="s">
        <v>111</v>
      </c>
      <c r="E617" s="3">
        <v>34</v>
      </c>
      <c r="F617" s="3">
        <v>45</v>
      </c>
      <c r="G617" s="3">
        <v>100</v>
      </c>
      <c r="H617" s="3">
        <v>55</v>
      </c>
      <c r="I617" s="4">
        <v>4500</v>
      </c>
      <c r="J617" s="4">
        <v>2475</v>
      </c>
      <c r="K617" s="4">
        <v>2025</v>
      </c>
    </row>
    <row r="618" spans="1:11">
      <c r="A618" s="2" t="s">
        <v>432</v>
      </c>
      <c r="B618" s="3" t="s">
        <v>104</v>
      </c>
      <c r="C618" s="3" t="s">
        <v>95</v>
      </c>
      <c r="D618" s="3" t="s">
        <v>111</v>
      </c>
      <c r="E618" s="3">
        <v>26</v>
      </c>
      <c r="F618" s="3">
        <v>31</v>
      </c>
      <c r="G618" s="3">
        <v>110</v>
      </c>
      <c r="H618" s="3">
        <v>60</v>
      </c>
      <c r="I618" s="4">
        <v>3410</v>
      </c>
      <c r="J618" s="4">
        <v>1860</v>
      </c>
      <c r="K618" s="4">
        <v>1550</v>
      </c>
    </row>
    <row r="619" spans="1:11">
      <c r="A619" s="2" t="s">
        <v>138</v>
      </c>
      <c r="B619" s="3" t="s">
        <v>105</v>
      </c>
      <c r="C619" s="3" t="s">
        <v>93</v>
      </c>
      <c r="D619" s="3" t="s">
        <v>110</v>
      </c>
      <c r="E619" s="3">
        <v>20</v>
      </c>
      <c r="F619" s="3">
        <v>28</v>
      </c>
      <c r="G619" s="3">
        <v>100</v>
      </c>
      <c r="H619" s="3">
        <v>55</v>
      </c>
      <c r="I619" s="4">
        <v>2800</v>
      </c>
      <c r="J619" s="4">
        <v>1540</v>
      </c>
      <c r="K619" s="4">
        <v>1260</v>
      </c>
    </row>
    <row r="620" spans="1:11">
      <c r="A620" s="2" t="s">
        <v>303</v>
      </c>
      <c r="B620" s="3" t="s">
        <v>103</v>
      </c>
      <c r="C620" s="3" t="s">
        <v>93</v>
      </c>
      <c r="D620" s="3" t="s">
        <v>110</v>
      </c>
      <c r="E620" s="3">
        <v>28</v>
      </c>
      <c r="F620" s="3">
        <v>47</v>
      </c>
      <c r="G620" s="3">
        <v>100</v>
      </c>
      <c r="H620" s="3">
        <v>55</v>
      </c>
      <c r="I620" s="4">
        <v>4700</v>
      </c>
      <c r="J620" s="4">
        <v>2585</v>
      </c>
      <c r="K620" s="4">
        <v>2115</v>
      </c>
    </row>
    <row r="621" spans="1:11">
      <c r="A621" s="2" t="s">
        <v>423</v>
      </c>
      <c r="B621" s="3" t="s">
        <v>103</v>
      </c>
      <c r="C621" s="3" t="s">
        <v>94</v>
      </c>
      <c r="D621" s="3" t="s">
        <v>110</v>
      </c>
      <c r="E621" s="3">
        <v>33</v>
      </c>
      <c r="F621" s="3">
        <v>86</v>
      </c>
      <c r="G621" s="3">
        <v>80</v>
      </c>
      <c r="H621" s="3">
        <v>45</v>
      </c>
      <c r="I621" s="4">
        <v>6880</v>
      </c>
      <c r="J621" s="4">
        <v>3870</v>
      </c>
      <c r="K621" s="4">
        <v>3010</v>
      </c>
    </row>
    <row r="622" spans="1:11">
      <c r="A622" s="2" t="s">
        <v>270</v>
      </c>
      <c r="B622" s="3" t="s">
        <v>104</v>
      </c>
      <c r="C622" s="3" t="s">
        <v>98</v>
      </c>
      <c r="D622" s="3" t="s">
        <v>112</v>
      </c>
      <c r="E622" s="3">
        <v>31</v>
      </c>
      <c r="F622" s="3">
        <v>95</v>
      </c>
      <c r="G622" s="3">
        <v>100</v>
      </c>
      <c r="H622" s="3">
        <v>55</v>
      </c>
      <c r="I622" s="4">
        <v>9500</v>
      </c>
      <c r="J622" s="4">
        <v>5225</v>
      </c>
      <c r="K622" s="4">
        <v>4275</v>
      </c>
    </row>
    <row r="623" spans="1:11">
      <c r="A623" s="2" t="s">
        <v>401</v>
      </c>
      <c r="B623" s="3" t="s">
        <v>106</v>
      </c>
      <c r="C623" s="3" t="s">
        <v>94</v>
      </c>
      <c r="D623" s="3" t="s">
        <v>110</v>
      </c>
      <c r="E623" s="3">
        <v>20</v>
      </c>
      <c r="F623" s="3">
        <v>12</v>
      </c>
      <c r="G623" s="3">
        <v>80</v>
      </c>
      <c r="H623" s="3">
        <v>45</v>
      </c>
      <c r="I623" s="4">
        <v>960</v>
      </c>
      <c r="J623" s="4">
        <v>540</v>
      </c>
      <c r="K623" s="4">
        <v>420</v>
      </c>
    </row>
    <row r="624" spans="1:11">
      <c r="A624" s="2" t="s">
        <v>406</v>
      </c>
      <c r="B624" s="3" t="s">
        <v>104</v>
      </c>
      <c r="C624" s="3" t="s">
        <v>93</v>
      </c>
      <c r="D624" s="3" t="s">
        <v>110</v>
      </c>
      <c r="E624" s="3">
        <v>21</v>
      </c>
      <c r="F624" s="3">
        <v>13</v>
      </c>
      <c r="G624" s="3">
        <v>100</v>
      </c>
      <c r="H624" s="3">
        <v>55</v>
      </c>
      <c r="I624" s="4">
        <v>1300</v>
      </c>
      <c r="J624" s="4">
        <v>715</v>
      </c>
      <c r="K624" s="4">
        <v>585</v>
      </c>
    </row>
    <row r="625" spans="1:11">
      <c r="A625" s="2" t="s">
        <v>433</v>
      </c>
      <c r="B625" s="3" t="s">
        <v>105</v>
      </c>
      <c r="C625" s="3" t="s">
        <v>95</v>
      </c>
      <c r="D625" s="3" t="s">
        <v>110</v>
      </c>
      <c r="E625" s="3">
        <v>19</v>
      </c>
      <c r="F625" s="3">
        <v>52</v>
      </c>
      <c r="G625" s="3">
        <v>110</v>
      </c>
      <c r="H625" s="3">
        <v>60</v>
      </c>
      <c r="I625" s="4">
        <v>5720</v>
      </c>
      <c r="J625" s="4">
        <v>3120</v>
      </c>
      <c r="K625" s="4">
        <v>2600</v>
      </c>
    </row>
    <row r="626" spans="1:11">
      <c r="A626" s="2" t="s">
        <v>434</v>
      </c>
      <c r="B626" s="3" t="s">
        <v>104</v>
      </c>
      <c r="C626" s="3" t="s">
        <v>98</v>
      </c>
      <c r="D626" s="3" t="s">
        <v>111</v>
      </c>
      <c r="E626" s="3">
        <v>39</v>
      </c>
      <c r="F626" s="3">
        <v>110</v>
      </c>
      <c r="G626" s="3">
        <v>100</v>
      </c>
      <c r="H626" s="3">
        <v>55</v>
      </c>
      <c r="I626" s="4">
        <v>11000</v>
      </c>
      <c r="J626" s="4">
        <v>6050</v>
      </c>
      <c r="K626" s="4">
        <v>4950</v>
      </c>
    </row>
    <row r="627" spans="1:11">
      <c r="A627" s="2" t="s">
        <v>431</v>
      </c>
      <c r="B627" s="3" t="s">
        <v>104</v>
      </c>
      <c r="C627" s="3" t="s">
        <v>94</v>
      </c>
      <c r="D627" s="3" t="s">
        <v>110</v>
      </c>
      <c r="E627" s="3">
        <v>30</v>
      </c>
      <c r="F627" s="3">
        <v>87</v>
      </c>
      <c r="G627" s="3">
        <v>80</v>
      </c>
      <c r="H627" s="3">
        <v>45</v>
      </c>
      <c r="I627" s="4">
        <v>6960</v>
      </c>
      <c r="J627" s="4">
        <v>3915</v>
      </c>
      <c r="K627" s="4">
        <v>3045</v>
      </c>
    </row>
    <row r="628" spans="1:11">
      <c r="A628" s="2" t="s">
        <v>191</v>
      </c>
      <c r="B628" s="3" t="s">
        <v>104</v>
      </c>
      <c r="C628" s="3" t="s">
        <v>98</v>
      </c>
      <c r="D628" s="3" t="s">
        <v>110</v>
      </c>
      <c r="E628" s="3">
        <v>20</v>
      </c>
      <c r="F628" s="3">
        <v>46</v>
      </c>
      <c r="G628" s="3">
        <v>100</v>
      </c>
      <c r="H628" s="3">
        <v>55</v>
      </c>
      <c r="I628" s="4">
        <v>4600</v>
      </c>
      <c r="J628" s="4">
        <v>2530</v>
      </c>
      <c r="K628" s="4">
        <v>2070</v>
      </c>
    </row>
    <row r="629" spans="1:11">
      <c r="A629" s="2" t="s">
        <v>137</v>
      </c>
      <c r="B629" s="3" t="s">
        <v>104</v>
      </c>
      <c r="C629" s="3" t="s">
        <v>95</v>
      </c>
      <c r="D629" s="3" t="s">
        <v>111</v>
      </c>
      <c r="E629" s="3">
        <v>26</v>
      </c>
      <c r="F629" s="3">
        <v>35</v>
      </c>
      <c r="G629" s="3">
        <v>110</v>
      </c>
      <c r="H629" s="3">
        <v>60</v>
      </c>
      <c r="I629" s="4">
        <v>3850</v>
      </c>
      <c r="J629" s="4">
        <v>2100</v>
      </c>
      <c r="K629" s="4">
        <v>1750</v>
      </c>
    </row>
    <row r="630" spans="1:11">
      <c r="A630" s="2" t="s">
        <v>435</v>
      </c>
      <c r="B630" s="3" t="s">
        <v>104</v>
      </c>
      <c r="C630" s="3" t="s">
        <v>96</v>
      </c>
      <c r="D630" s="3" t="s">
        <v>111</v>
      </c>
      <c r="E630" s="3">
        <v>31</v>
      </c>
      <c r="F630" s="3">
        <v>91</v>
      </c>
      <c r="G630" s="3">
        <v>90</v>
      </c>
      <c r="H630" s="3">
        <v>50</v>
      </c>
      <c r="I630" s="4">
        <v>8190</v>
      </c>
      <c r="J630" s="4">
        <v>4550</v>
      </c>
      <c r="K630" s="4">
        <v>3640</v>
      </c>
    </row>
    <row r="631" spans="1:11">
      <c r="A631" s="2" t="s">
        <v>379</v>
      </c>
      <c r="B631" s="3" t="s">
        <v>103</v>
      </c>
      <c r="C631" s="3" t="s">
        <v>94</v>
      </c>
      <c r="D631" s="3" t="s">
        <v>110</v>
      </c>
      <c r="E631" s="3">
        <v>27</v>
      </c>
      <c r="F631" s="3">
        <v>11</v>
      </c>
      <c r="G631" s="3">
        <v>80</v>
      </c>
      <c r="H631" s="3">
        <v>45</v>
      </c>
      <c r="I631" s="4">
        <v>880</v>
      </c>
      <c r="J631" s="4">
        <v>495</v>
      </c>
      <c r="K631" s="4">
        <v>385</v>
      </c>
    </row>
    <row r="632" spans="1:11">
      <c r="A632" s="2" t="s">
        <v>436</v>
      </c>
      <c r="B632" s="3" t="s">
        <v>104</v>
      </c>
      <c r="C632" s="3" t="s">
        <v>95</v>
      </c>
      <c r="D632" s="3" t="s">
        <v>111</v>
      </c>
      <c r="E632" s="3">
        <v>28</v>
      </c>
      <c r="F632" s="3">
        <v>79</v>
      </c>
      <c r="G632" s="3">
        <v>110</v>
      </c>
      <c r="H632" s="3">
        <v>60</v>
      </c>
      <c r="I632" s="4">
        <v>8690</v>
      </c>
      <c r="J632" s="4">
        <v>4740</v>
      </c>
      <c r="K632" s="4">
        <v>3950</v>
      </c>
    </row>
    <row r="633" spans="1:11">
      <c r="A633" s="2" t="s">
        <v>437</v>
      </c>
      <c r="B633" s="3" t="s">
        <v>106</v>
      </c>
      <c r="C633" s="3" t="s">
        <v>93</v>
      </c>
      <c r="D633" s="3" t="s">
        <v>110</v>
      </c>
      <c r="E633" s="3">
        <v>26</v>
      </c>
      <c r="F633" s="3">
        <v>47</v>
      </c>
      <c r="G633" s="3">
        <v>100</v>
      </c>
      <c r="H633" s="3">
        <v>55</v>
      </c>
      <c r="I633" s="4">
        <v>4700</v>
      </c>
      <c r="J633" s="4">
        <v>2585</v>
      </c>
      <c r="K633" s="4">
        <v>2115</v>
      </c>
    </row>
    <row r="634" spans="1:11">
      <c r="A634" s="2" t="s">
        <v>207</v>
      </c>
      <c r="B634" s="3" t="s">
        <v>105</v>
      </c>
      <c r="C634" s="3" t="s">
        <v>96</v>
      </c>
      <c r="D634" s="3" t="s">
        <v>110</v>
      </c>
      <c r="E634" s="3">
        <v>30</v>
      </c>
      <c r="F634" s="3">
        <v>74</v>
      </c>
      <c r="G634" s="3">
        <v>90</v>
      </c>
      <c r="H634" s="3">
        <v>50</v>
      </c>
      <c r="I634" s="4">
        <v>6660</v>
      </c>
      <c r="J634" s="4">
        <v>3700</v>
      </c>
      <c r="K634" s="4">
        <v>2960</v>
      </c>
    </row>
    <row r="635" spans="1:11">
      <c r="A635" s="2" t="s">
        <v>329</v>
      </c>
      <c r="B635" s="3" t="s">
        <v>104</v>
      </c>
      <c r="C635" s="3" t="s">
        <v>94</v>
      </c>
      <c r="D635" s="3" t="s">
        <v>110</v>
      </c>
      <c r="E635" s="3">
        <v>38</v>
      </c>
      <c r="F635" s="3">
        <v>181</v>
      </c>
      <c r="G635" s="3">
        <v>80</v>
      </c>
      <c r="H635" s="3">
        <v>45</v>
      </c>
      <c r="I635" s="4">
        <v>14480</v>
      </c>
      <c r="J635" s="4">
        <v>8145</v>
      </c>
      <c r="K635" s="4">
        <v>6335</v>
      </c>
    </row>
    <row r="636" spans="1:11">
      <c r="A636" s="2" t="s">
        <v>330</v>
      </c>
      <c r="B636" s="3" t="s">
        <v>105</v>
      </c>
      <c r="C636" s="3" t="s">
        <v>95</v>
      </c>
      <c r="D636" s="3" t="s">
        <v>111</v>
      </c>
      <c r="E636" s="3">
        <v>25</v>
      </c>
      <c r="F636" s="3">
        <v>42</v>
      </c>
      <c r="G636" s="3">
        <v>110</v>
      </c>
      <c r="H636" s="3">
        <v>60</v>
      </c>
      <c r="I636" s="4">
        <v>4620</v>
      </c>
      <c r="J636" s="4">
        <v>2520</v>
      </c>
      <c r="K636" s="4">
        <v>2100</v>
      </c>
    </row>
    <row r="637" spans="1:11">
      <c r="A637" s="2" t="s">
        <v>321</v>
      </c>
      <c r="B637" s="3" t="s">
        <v>103</v>
      </c>
      <c r="C637" s="3" t="s">
        <v>93</v>
      </c>
      <c r="D637" s="3" t="s">
        <v>110</v>
      </c>
      <c r="E637" s="3">
        <v>30</v>
      </c>
      <c r="F637" s="3">
        <v>64</v>
      </c>
      <c r="G637" s="3">
        <v>100</v>
      </c>
      <c r="H637" s="3">
        <v>55</v>
      </c>
      <c r="I637" s="4">
        <v>6400</v>
      </c>
      <c r="J637" s="4">
        <v>3520</v>
      </c>
      <c r="K637" s="4">
        <v>2880</v>
      </c>
    </row>
    <row r="638" spans="1:11">
      <c r="A638" s="2" t="s">
        <v>340</v>
      </c>
      <c r="B638" s="3" t="s">
        <v>105</v>
      </c>
      <c r="C638" s="3" t="s">
        <v>94</v>
      </c>
      <c r="D638" s="3" t="s">
        <v>110</v>
      </c>
      <c r="E638" s="3">
        <v>25</v>
      </c>
      <c r="F638" s="3">
        <v>55</v>
      </c>
      <c r="G638" s="3">
        <v>80</v>
      </c>
      <c r="H638" s="3">
        <v>45</v>
      </c>
      <c r="I638" s="4">
        <v>4400</v>
      </c>
      <c r="J638" s="4">
        <v>2475</v>
      </c>
      <c r="K638" s="4">
        <v>1925</v>
      </c>
    </row>
    <row r="639" spans="1:11">
      <c r="A639" s="2" t="s">
        <v>357</v>
      </c>
      <c r="B639" s="3" t="s">
        <v>104</v>
      </c>
      <c r="C639" s="3" t="s">
        <v>95</v>
      </c>
      <c r="D639" s="3" t="s">
        <v>111</v>
      </c>
      <c r="E639" s="3">
        <v>27</v>
      </c>
      <c r="F639" s="3">
        <v>47</v>
      </c>
      <c r="G639" s="3">
        <v>110</v>
      </c>
      <c r="H639" s="3">
        <v>60</v>
      </c>
      <c r="I639" s="4">
        <v>5170</v>
      </c>
      <c r="J639" s="4">
        <v>2820</v>
      </c>
      <c r="K639" s="4">
        <v>2350</v>
      </c>
    </row>
    <row r="640" spans="1:11">
      <c r="A640" s="2" t="s">
        <v>141</v>
      </c>
      <c r="B640" s="3" t="s">
        <v>104</v>
      </c>
      <c r="C640" s="3" t="s">
        <v>94</v>
      </c>
      <c r="D640" s="3" t="s">
        <v>110</v>
      </c>
      <c r="E640" s="3">
        <v>29</v>
      </c>
      <c r="F640" s="3">
        <v>77</v>
      </c>
      <c r="G640" s="3">
        <v>80</v>
      </c>
      <c r="H640" s="3">
        <v>45</v>
      </c>
      <c r="I640" s="4">
        <v>6160</v>
      </c>
      <c r="J640" s="4">
        <v>3465</v>
      </c>
      <c r="K640" s="4">
        <v>2695</v>
      </c>
    </row>
    <row r="641" spans="1:11">
      <c r="A641" s="2" t="s">
        <v>427</v>
      </c>
      <c r="B641" s="3" t="s">
        <v>105</v>
      </c>
      <c r="C641" s="3" t="s">
        <v>93</v>
      </c>
      <c r="D641" s="3" t="s">
        <v>111</v>
      </c>
      <c r="E641" s="3">
        <v>34</v>
      </c>
      <c r="F641" s="3">
        <v>158</v>
      </c>
      <c r="G641" s="3">
        <v>100</v>
      </c>
      <c r="H641" s="3">
        <v>55</v>
      </c>
      <c r="I641" s="4">
        <v>15800</v>
      </c>
      <c r="J641" s="4">
        <v>8690</v>
      </c>
      <c r="K641" s="4">
        <v>7110</v>
      </c>
    </row>
    <row r="642" spans="1:11">
      <c r="A642" s="2" t="s">
        <v>438</v>
      </c>
      <c r="B642" s="3" t="s">
        <v>104</v>
      </c>
      <c r="C642" s="3" t="s">
        <v>94</v>
      </c>
      <c r="D642" s="3" t="s">
        <v>110</v>
      </c>
      <c r="E642" s="3">
        <v>22</v>
      </c>
      <c r="F642" s="3">
        <v>20</v>
      </c>
      <c r="G642" s="3">
        <v>80</v>
      </c>
      <c r="H642" s="3">
        <v>45</v>
      </c>
      <c r="I642" s="4">
        <v>1600</v>
      </c>
      <c r="J642" s="4">
        <v>900</v>
      </c>
      <c r="K642" s="4">
        <v>700</v>
      </c>
    </row>
    <row r="643" spans="1:11">
      <c r="A643" s="2" t="s">
        <v>327</v>
      </c>
      <c r="B643" s="3" t="s">
        <v>103</v>
      </c>
      <c r="C643" s="3" t="s">
        <v>93</v>
      </c>
      <c r="D643" s="3" t="s">
        <v>110</v>
      </c>
      <c r="E643" s="3">
        <v>27</v>
      </c>
      <c r="F643" s="3">
        <v>53</v>
      </c>
      <c r="G643" s="3">
        <v>100</v>
      </c>
      <c r="H643" s="3">
        <v>55</v>
      </c>
      <c r="I643" s="4">
        <v>5300</v>
      </c>
      <c r="J643" s="4">
        <v>2915</v>
      </c>
      <c r="K643" s="4">
        <v>2385</v>
      </c>
    </row>
    <row r="644" spans="1:11">
      <c r="A644" s="2" t="s">
        <v>439</v>
      </c>
      <c r="B644" s="3" t="s">
        <v>106</v>
      </c>
      <c r="C644" s="3" t="s">
        <v>94</v>
      </c>
      <c r="D644" s="3" t="s">
        <v>111</v>
      </c>
      <c r="E644" s="3">
        <v>20</v>
      </c>
      <c r="F644" s="3">
        <v>44</v>
      </c>
      <c r="G644" s="3">
        <v>80</v>
      </c>
      <c r="H644" s="3">
        <v>45</v>
      </c>
      <c r="I644" s="4">
        <v>3520</v>
      </c>
      <c r="J644" s="4">
        <v>1980</v>
      </c>
      <c r="K644" s="4">
        <v>1540</v>
      </c>
    </row>
    <row r="645" spans="1:11">
      <c r="A645" s="2" t="s">
        <v>311</v>
      </c>
      <c r="B645" s="3" t="s">
        <v>104</v>
      </c>
      <c r="C645" s="3" t="s">
        <v>93</v>
      </c>
      <c r="D645" s="3" t="s">
        <v>110</v>
      </c>
      <c r="E645" s="3">
        <v>28</v>
      </c>
      <c r="F645" s="3">
        <v>97</v>
      </c>
      <c r="G645" s="3">
        <v>100</v>
      </c>
      <c r="H645" s="3">
        <v>55</v>
      </c>
      <c r="I645" s="4">
        <v>9700</v>
      </c>
      <c r="J645" s="4">
        <v>5335</v>
      </c>
      <c r="K645" s="4">
        <v>4365</v>
      </c>
    </row>
    <row r="646" spans="1:11">
      <c r="A646" s="2" t="s">
        <v>365</v>
      </c>
      <c r="B646" s="3" t="s">
        <v>103</v>
      </c>
      <c r="C646" s="3" t="s">
        <v>95</v>
      </c>
      <c r="D646" s="3" t="s">
        <v>111</v>
      </c>
      <c r="E646" s="3">
        <v>34</v>
      </c>
      <c r="F646" s="3">
        <v>97</v>
      </c>
      <c r="G646" s="3">
        <v>110</v>
      </c>
      <c r="H646" s="3">
        <v>60</v>
      </c>
      <c r="I646" s="4">
        <v>10670</v>
      </c>
      <c r="J646" s="4">
        <v>5820</v>
      </c>
      <c r="K646" s="4">
        <v>4850</v>
      </c>
    </row>
    <row r="647" spans="1:11">
      <c r="A647" s="2" t="s">
        <v>440</v>
      </c>
      <c r="B647" s="3" t="s">
        <v>106</v>
      </c>
      <c r="C647" s="3" t="s">
        <v>97</v>
      </c>
      <c r="D647" s="3" t="s">
        <v>110</v>
      </c>
      <c r="E647" s="3">
        <v>22</v>
      </c>
      <c r="F647" s="3">
        <v>14</v>
      </c>
      <c r="G647" s="3">
        <v>130</v>
      </c>
      <c r="H647" s="3">
        <v>70</v>
      </c>
      <c r="I647" s="4">
        <v>1820</v>
      </c>
      <c r="J647" s="4">
        <v>980</v>
      </c>
      <c r="K647" s="4">
        <v>840</v>
      </c>
    </row>
    <row r="648" spans="1:11">
      <c r="A648" s="2" t="s">
        <v>252</v>
      </c>
      <c r="B648" s="3" t="s">
        <v>104</v>
      </c>
      <c r="C648" s="3" t="s">
        <v>93</v>
      </c>
      <c r="D648" s="3" t="s">
        <v>112</v>
      </c>
      <c r="E648" s="3">
        <v>29</v>
      </c>
      <c r="F648" s="3">
        <v>71</v>
      </c>
      <c r="G648" s="3">
        <v>100</v>
      </c>
      <c r="H648" s="3">
        <v>55</v>
      </c>
      <c r="I648" s="4">
        <v>7100</v>
      </c>
      <c r="J648" s="4">
        <v>3905</v>
      </c>
      <c r="K648" s="4">
        <v>3195</v>
      </c>
    </row>
    <row r="649" spans="1:11">
      <c r="A649" s="2" t="s">
        <v>227</v>
      </c>
      <c r="B649" s="3" t="s">
        <v>103</v>
      </c>
      <c r="C649" s="3" t="s">
        <v>96</v>
      </c>
      <c r="D649" s="3" t="s">
        <v>110</v>
      </c>
      <c r="E649" s="3">
        <v>38</v>
      </c>
      <c r="F649" s="3">
        <v>195</v>
      </c>
      <c r="G649" s="3">
        <v>90</v>
      </c>
      <c r="H649" s="3">
        <v>50</v>
      </c>
      <c r="I649" s="4">
        <v>17550</v>
      </c>
      <c r="J649" s="4">
        <v>9750</v>
      </c>
      <c r="K649" s="4">
        <v>7800</v>
      </c>
    </row>
    <row r="650" spans="1:11">
      <c r="A650" s="2" t="s">
        <v>371</v>
      </c>
      <c r="B650" s="3" t="s">
        <v>106</v>
      </c>
      <c r="C650" s="3" t="s">
        <v>93</v>
      </c>
      <c r="D650" s="3" t="s">
        <v>110</v>
      </c>
      <c r="E650" s="3">
        <v>38</v>
      </c>
      <c r="F650" s="3">
        <v>182</v>
      </c>
      <c r="G650" s="3">
        <v>100</v>
      </c>
      <c r="H650" s="3">
        <v>55</v>
      </c>
      <c r="I650" s="4">
        <v>18200</v>
      </c>
      <c r="J650" s="4">
        <v>10010</v>
      </c>
      <c r="K650" s="4">
        <v>8190</v>
      </c>
    </row>
    <row r="651" spans="1:11">
      <c r="A651" s="2" t="s">
        <v>392</v>
      </c>
      <c r="B651" s="3" t="s">
        <v>105</v>
      </c>
      <c r="C651" s="3" t="s">
        <v>95</v>
      </c>
      <c r="D651" s="3" t="s">
        <v>110</v>
      </c>
      <c r="E651" s="3">
        <v>32</v>
      </c>
      <c r="F651" s="3">
        <v>94</v>
      </c>
      <c r="G651" s="3">
        <v>110</v>
      </c>
      <c r="H651" s="3">
        <v>60</v>
      </c>
      <c r="I651" s="4">
        <v>10340</v>
      </c>
      <c r="J651" s="4">
        <v>5640</v>
      </c>
      <c r="K651" s="4">
        <v>4700</v>
      </c>
    </row>
    <row r="652" spans="1:11">
      <c r="A652" s="2" t="s">
        <v>349</v>
      </c>
      <c r="B652" s="3" t="s">
        <v>103</v>
      </c>
      <c r="C652" s="3" t="s">
        <v>93</v>
      </c>
      <c r="D652" s="3" t="s">
        <v>110</v>
      </c>
      <c r="E652" s="3">
        <v>26</v>
      </c>
      <c r="F652" s="3">
        <v>76</v>
      </c>
      <c r="G652" s="3">
        <v>100</v>
      </c>
      <c r="H652" s="3">
        <v>55</v>
      </c>
      <c r="I652" s="4">
        <v>7600</v>
      </c>
      <c r="J652" s="4">
        <v>4180</v>
      </c>
      <c r="K652" s="4">
        <v>3420</v>
      </c>
    </row>
    <row r="653" spans="1:11">
      <c r="A653" s="2" t="s">
        <v>390</v>
      </c>
      <c r="B653" s="3" t="s">
        <v>103</v>
      </c>
      <c r="C653" s="3" t="s">
        <v>97</v>
      </c>
      <c r="D653" s="3" t="s">
        <v>111</v>
      </c>
      <c r="E653" s="3">
        <v>39</v>
      </c>
      <c r="F653" s="3">
        <v>168</v>
      </c>
      <c r="G653" s="3">
        <v>130</v>
      </c>
      <c r="H653" s="3">
        <v>70</v>
      </c>
      <c r="I653" s="4">
        <v>21840</v>
      </c>
      <c r="J653" s="4">
        <v>11760</v>
      </c>
      <c r="K653" s="4">
        <v>10080</v>
      </c>
    </row>
    <row r="654" spans="1:11">
      <c r="A654" s="2" t="s">
        <v>224</v>
      </c>
      <c r="B654" s="3" t="s">
        <v>106</v>
      </c>
      <c r="C654" s="3" t="s">
        <v>95</v>
      </c>
      <c r="D654" s="3" t="s">
        <v>111</v>
      </c>
      <c r="E654" s="3">
        <v>33</v>
      </c>
      <c r="F654" s="3">
        <v>139</v>
      </c>
      <c r="G654" s="3">
        <v>110</v>
      </c>
      <c r="H654" s="3">
        <v>60</v>
      </c>
      <c r="I654" s="4">
        <v>15290</v>
      </c>
      <c r="J654" s="4">
        <v>8340</v>
      </c>
      <c r="K654" s="4">
        <v>6950</v>
      </c>
    </row>
    <row r="655" spans="1:11">
      <c r="A655" s="2" t="s">
        <v>149</v>
      </c>
      <c r="B655" s="3" t="s">
        <v>105</v>
      </c>
      <c r="C655" s="3" t="s">
        <v>98</v>
      </c>
      <c r="D655" s="3" t="s">
        <v>110</v>
      </c>
      <c r="E655" s="3">
        <v>33</v>
      </c>
      <c r="F655" s="3">
        <v>104</v>
      </c>
      <c r="G655" s="3">
        <v>100</v>
      </c>
      <c r="H655" s="3">
        <v>55</v>
      </c>
      <c r="I655" s="4">
        <v>10400</v>
      </c>
      <c r="J655" s="4">
        <v>5720</v>
      </c>
      <c r="K655" s="4">
        <v>4680</v>
      </c>
    </row>
    <row r="656" spans="1:11">
      <c r="A656" s="2" t="s">
        <v>138</v>
      </c>
      <c r="B656" s="3" t="s">
        <v>103</v>
      </c>
      <c r="C656" s="3" t="s">
        <v>93</v>
      </c>
      <c r="D656" s="3" t="s">
        <v>110</v>
      </c>
      <c r="E656" s="3">
        <v>27</v>
      </c>
      <c r="F656" s="3">
        <v>49</v>
      </c>
      <c r="G656" s="3">
        <v>100</v>
      </c>
      <c r="H656" s="3">
        <v>55</v>
      </c>
      <c r="I656" s="4">
        <v>4900</v>
      </c>
      <c r="J656" s="4">
        <v>2695</v>
      </c>
      <c r="K656" s="4">
        <v>2205</v>
      </c>
    </row>
    <row r="657" spans="1:11">
      <c r="A657" s="2" t="s">
        <v>441</v>
      </c>
      <c r="B657" s="3" t="s">
        <v>106</v>
      </c>
      <c r="C657" s="3" t="s">
        <v>96</v>
      </c>
      <c r="D657" s="3" t="s">
        <v>112</v>
      </c>
      <c r="E657" s="3">
        <v>32</v>
      </c>
      <c r="F657" s="3">
        <v>91</v>
      </c>
      <c r="G657" s="3">
        <v>90</v>
      </c>
      <c r="H657" s="3">
        <v>50</v>
      </c>
      <c r="I657" s="4">
        <v>8190</v>
      </c>
      <c r="J657" s="4">
        <v>4550</v>
      </c>
      <c r="K657" s="4">
        <v>3640</v>
      </c>
    </row>
    <row r="658" spans="1:11">
      <c r="A658" s="2" t="s">
        <v>442</v>
      </c>
      <c r="B658" s="3" t="s">
        <v>105</v>
      </c>
      <c r="C658" s="3" t="s">
        <v>97</v>
      </c>
      <c r="D658" s="3" t="s">
        <v>110</v>
      </c>
      <c r="E658" s="3">
        <v>28</v>
      </c>
      <c r="F658" s="3">
        <v>102</v>
      </c>
      <c r="G658" s="3">
        <v>130</v>
      </c>
      <c r="H658" s="3">
        <v>70</v>
      </c>
      <c r="I658" s="4">
        <v>13260</v>
      </c>
      <c r="J658" s="4">
        <v>7140</v>
      </c>
      <c r="K658" s="4">
        <v>6120</v>
      </c>
    </row>
    <row r="659" spans="1:11">
      <c r="A659" s="2" t="s">
        <v>246</v>
      </c>
      <c r="B659" s="3" t="s">
        <v>106</v>
      </c>
      <c r="C659" s="3" t="s">
        <v>94</v>
      </c>
      <c r="D659" s="3" t="s">
        <v>111</v>
      </c>
      <c r="E659" s="3">
        <v>40</v>
      </c>
      <c r="F659" s="3">
        <v>168</v>
      </c>
      <c r="G659" s="3">
        <v>80</v>
      </c>
      <c r="H659" s="3">
        <v>45</v>
      </c>
      <c r="I659" s="4">
        <v>13440</v>
      </c>
      <c r="J659" s="4">
        <v>7560</v>
      </c>
      <c r="K659" s="4">
        <v>5880</v>
      </c>
    </row>
    <row r="660" spans="1:11">
      <c r="A660" s="2" t="s">
        <v>141</v>
      </c>
      <c r="B660" s="3" t="s">
        <v>105</v>
      </c>
      <c r="C660" s="3" t="s">
        <v>97</v>
      </c>
      <c r="D660" s="3" t="s">
        <v>110</v>
      </c>
      <c r="E660" s="3">
        <v>32</v>
      </c>
      <c r="F660" s="3">
        <v>82</v>
      </c>
      <c r="G660" s="3">
        <v>130</v>
      </c>
      <c r="H660" s="3">
        <v>70</v>
      </c>
      <c r="I660" s="4">
        <v>10660</v>
      </c>
      <c r="J660" s="4">
        <v>5740</v>
      </c>
      <c r="K660" s="4">
        <v>4920</v>
      </c>
    </row>
    <row r="661" spans="1:11">
      <c r="A661" s="2" t="s">
        <v>363</v>
      </c>
      <c r="B661" s="3" t="s">
        <v>106</v>
      </c>
      <c r="C661" s="3" t="s">
        <v>98</v>
      </c>
      <c r="D661" s="3" t="s">
        <v>112</v>
      </c>
      <c r="E661" s="3">
        <v>27</v>
      </c>
      <c r="F661" s="3">
        <v>48</v>
      </c>
      <c r="G661" s="3">
        <v>100</v>
      </c>
      <c r="H661" s="3">
        <v>55</v>
      </c>
      <c r="I661" s="4">
        <v>4800</v>
      </c>
      <c r="J661" s="4">
        <v>2640</v>
      </c>
      <c r="K661" s="4">
        <v>2160</v>
      </c>
    </row>
    <row r="662" spans="1:11">
      <c r="A662" s="2" t="s">
        <v>430</v>
      </c>
      <c r="B662" s="3" t="s">
        <v>103</v>
      </c>
      <c r="C662" s="3" t="s">
        <v>94</v>
      </c>
      <c r="D662" s="3" t="s">
        <v>110</v>
      </c>
      <c r="E662" s="3">
        <v>39</v>
      </c>
      <c r="F662" s="3">
        <v>151</v>
      </c>
      <c r="G662" s="3">
        <v>80</v>
      </c>
      <c r="H662" s="3">
        <v>45</v>
      </c>
      <c r="I662" s="4">
        <v>12080</v>
      </c>
      <c r="J662" s="4">
        <v>6795</v>
      </c>
      <c r="K662" s="4">
        <v>5285</v>
      </c>
    </row>
    <row r="663" spans="1:11">
      <c r="A663" s="2" t="s">
        <v>400</v>
      </c>
      <c r="B663" s="3" t="s">
        <v>104</v>
      </c>
      <c r="C663" s="3" t="s">
        <v>93</v>
      </c>
      <c r="D663" s="3" t="s">
        <v>112</v>
      </c>
      <c r="E663" s="3">
        <v>33</v>
      </c>
      <c r="F663" s="3">
        <v>69</v>
      </c>
      <c r="G663" s="3">
        <v>100</v>
      </c>
      <c r="H663" s="3">
        <v>55</v>
      </c>
      <c r="I663" s="4">
        <v>6900</v>
      </c>
      <c r="J663" s="4">
        <v>3795</v>
      </c>
      <c r="K663" s="4">
        <v>3105</v>
      </c>
    </row>
    <row r="664" spans="1:11">
      <c r="A664" s="2" t="s">
        <v>244</v>
      </c>
      <c r="B664" s="3" t="s">
        <v>103</v>
      </c>
      <c r="C664" s="3" t="s">
        <v>94</v>
      </c>
      <c r="D664" s="3" t="s">
        <v>110</v>
      </c>
      <c r="E664" s="3">
        <v>33</v>
      </c>
      <c r="F664" s="3">
        <v>93</v>
      </c>
      <c r="G664" s="3">
        <v>80</v>
      </c>
      <c r="H664" s="3">
        <v>45</v>
      </c>
      <c r="I664" s="4">
        <v>7440</v>
      </c>
      <c r="J664" s="4">
        <v>4185</v>
      </c>
      <c r="K664" s="4">
        <v>3255</v>
      </c>
    </row>
    <row r="665" spans="1:11">
      <c r="A665" s="2" t="s">
        <v>390</v>
      </c>
      <c r="B665" s="3" t="s">
        <v>103</v>
      </c>
      <c r="C665" s="3" t="s">
        <v>94</v>
      </c>
      <c r="D665" s="3" t="s">
        <v>110</v>
      </c>
      <c r="E665" s="3">
        <v>35</v>
      </c>
      <c r="F665" s="3">
        <v>98</v>
      </c>
      <c r="G665" s="3">
        <v>80</v>
      </c>
      <c r="H665" s="3">
        <v>45</v>
      </c>
      <c r="I665" s="4">
        <v>7840</v>
      </c>
      <c r="J665" s="4">
        <v>4410</v>
      </c>
      <c r="K665" s="4">
        <v>3430</v>
      </c>
    </row>
    <row r="666" spans="1:11">
      <c r="A666" s="2" t="s">
        <v>375</v>
      </c>
      <c r="B666" s="3" t="s">
        <v>106</v>
      </c>
      <c r="C666" s="3" t="s">
        <v>93</v>
      </c>
      <c r="D666" s="3" t="s">
        <v>110</v>
      </c>
      <c r="E666" s="3">
        <v>33</v>
      </c>
      <c r="F666" s="3">
        <v>53</v>
      </c>
      <c r="G666" s="3">
        <v>100</v>
      </c>
      <c r="H666" s="3">
        <v>55</v>
      </c>
      <c r="I666" s="4">
        <v>5300</v>
      </c>
      <c r="J666" s="4">
        <v>2915</v>
      </c>
      <c r="K666" s="4">
        <v>2385</v>
      </c>
    </row>
    <row r="667" spans="1:11">
      <c r="A667" s="2" t="s">
        <v>227</v>
      </c>
      <c r="B667" s="3" t="s">
        <v>103</v>
      </c>
      <c r="C667" s="3" t="s">
        <v>98</v>
      </c>
      <c r="D667" s="3" t="s">
        <v>110</v>
      </c>
      <c r="E667" s="3">
        <v>38</v>
      </c>
      <c r="F667" s="3">
        <v>179</v>
      </c>
      <c r="G667" s="3">
        <v>100</v>
      </c>
      <c r="H667" s="3">
        <v>55</v>
      </c>
      <c r="I667" s="4">
        <v>17900</v>
      </c>
      <c r="J667" s="4">
        <v>9845</v>
      </c>
      <c r="K667" s="4">
        <v>8055</v>
      </c>
    </row>
    <row r="668" spans="1:11">
      <c r="A668" s="2" t="s">
        <v>443</v>
      </c>
      <c r="B668" s="3" t="s">
        <v>106</v>
      </c>
      <c r="C668" s="3" t="s">
        <v>96</v>
      </c>
      <c r="D668" s="3" t="s">
        <v>110</v>
      </c>
      <c r="E668" s="3">
        <v>27</v>
      </c>
      <c r="F668" s="3">
        <v>47</v>
      </c>
      <c r="G668" s="3">
        <v>90</v>
      </c>
      <c r="H668" s="3">
        <v>50</v>
      </c>
      <c r="I668" s="4">
        <v>4230</v>
      </c>
      <c r="J668" s="4">
        <v>2350</v>
      </c>
      <c r="K668" s="4">
        <v>1880</v>
      </c>
    </row>
    <row r="669" spans="1:11">
      <c r="A669" s="2" t="s">
        <v>420</v>
      </c>
      <c r="B669" s="3" t="s">
        <v>105</v>
      </c>
      <c r="C669" s="3" t="s">
        <v>94</v>
      </c>
      <c r="D669" s="3" t="s">
        <v>110</v>
      </c>
      <c r="E669" s="3">
        <v>32</v>
      </c>
      <c r="F669" s="3">
        <v>136</v>
      </c>
      <c r="G669" s="3">
        <v>80</v>
      </c>
      <c r="H669" s="3">
        <v>45</v>
      </c>
      <c r="I669" s="4">
        <v>10880</v>
      </c>
      <c r="J669" s="4">
        <v>6120</v>
      </c>
      <c r="K669" s="4">
        <v>4760</v>
      </c>
    </row>
    <row r="670" spans="1:11">
      <c r="A670" s="2" t="s">
        <v>199</v>
      </c>
      <c r="B670" s="3" t="s">
        <v>103</v>
      </c>
      <c r="C670" s="3" t="s">
        <v>93</v>
      </c>
      <c r="D670" s="3" t="s">
        <v>111</v>
      </c>
      <c r="E670" s="3">
        <v>36</v>
      </c>
      <c r="F670" s="3">
        <v>155</v>
      </c>
      <c r="G670" s="3">
        <v>100</v>
      </c>
      <c r="H670" s="3">
        <v>55</v>
      </c>
      <c r="I670" s="4">
        <v>15500</v>
      </c>
      <c r="J670" s="4">
        <v>8525</v>
      </c>
      <c r="K670" s="4">
        <v>6975</v>
      </c>
    </row>
    <row r="671" spans="1:11">
      <c r="A671" s="2" t="s">
        <v>444</v>
      </c>
      <c r="B671" s="3" t="s">
        <v>103</v>
      </c>
      <c r="C671" s="3" t="s">
        <v>93</v>
      </c>
      <c r="D671" s="3" t="s">
        <v>110</v>
      </c>
      <c r="E671" s="3">
        <v>28</v>
      </c>
      <c r="F671" s="3">
        <v>47</v>
      </c>
      <c r="G671" s="3">
        <v>100</v>
      </c>
      <c r="H671" s="3">
        <v>55</v>
      </c>
      <c r="I671" s="4">
        <v>4700</v>
      </c>
      <c r="J671" s="4">
        <v>2585</v>
      </c>
      <c r="K671" s="4">
        <v>2115</v>
      </c>
    </row>
    <row r="672" spans="1:11">
      <c r="A672" s="2" t="s">
        <v>309</v>
      </c>
      <c r="B672" s="3" t="s">
        <v>104</v>
      </c>
      <c r="C672" s="3" t="s">
        <v>93</v>
      </c>
      <c r="D672" s="3" t="s">
        <v>111</v>
      </c>
      <c r="E672" s="3">
        <v>40</v>
      </c>
      <c r="F672" s="3">
        <v>130</v>
      </c>
      <c r="G672" s="3">
        <v>100</v>
      </c>
      <c r="H672" s="3">
        <v>55</v>
      </c>
      <c r="I672" s="4">
        <v>13000</v>
      </c>
      <c r="J672" s="4">
        <v>7150</v>
      </c>
      <c r="K672" s="4">
        <v>5850</v>
      </c>
    </row>
    <row r="673" spans="1:11">
      <c r="A673" s="2" t="s">
        <v>267</v>
      </c>
      <c r="B673" s="3" t="s">
        <v>103</v>
      </c>
      <c r="C673" s="3" t="s">
        <v>93</v>
      </c>
      <c r="D673" s="3" t="s">
        <v>110</v>
      </c>
      <c r="E673" s="3">
        <v>34</v>
      </c>
      <c r="F673" s="3">
        <v>109</v>
      </c>
      <c r="G673" s="3">
        <v>100</v>
      </c>
      <c r="H673" s="3">
        <v>55</v>
      </c>
      <c r="I673" s="4">
        <v>10900</v>
      </c>
      <c r="J673" s="4">
        <v>5995</v>
      </c>
      <c r="K673" s="4">
        <v>4905</v>
      </c>
    </row>
    <row r="674" spans="1:11">
      <c r="A674" s="2" t="s">
        <v>387</v>
      </c>
      <c r="B674" s="3" t="s">
        <v>106</v>
      </c>
      <c r="C674" s="3" t="s">
        <v>93</v>
      </c>
      <c r="D674" s="3" t="s">
        <v>110</v>
      </c>
      <c r="E674" s="3">
        <v>19</v>
      </c>
      <c r="F674" s="3">
        <v>44</v>
      </c>
      <c r="G674" s="3">
        <v>100</v>
      </c>
      <c r="H674" s="3">
        <v>55</v>
      </c>
      <c r="I674" s="4">
        <v>4400</v>
      </c>
      <c r="J674" s="4">
        <v>2420</v>
      </c>
      <c r="K674" s="4">
        <v>1980</v>
      </c>
    </row>
    <row r="675" spans="1:11">
      <c r="A675" s="2" t="s">
        <v>286</v>
      </c>
      <c r="B675" s="3" t="s">
        <v>105</v>
      </c>
      <c r="C675" s="3" t="s">
        <v>93</v>
      </c>
      <c r="D675" s="3" t="s">
        <v>110</v>
      </c>
      <c r="E675" s="3">
        <v>26</v>
      </c>
      <c r="F675" s="3">
        <v>42</v>
      </c>
      <c r="G675" s="3">
        <v>100</v>
      </c>
      <c r="H675" s="3">
        <v>55</v>
      </c>
      <c r="I675" s="4">
        <v>4200</v>
      </c>
      <c r="J675" s="4">
        <v>2310</v>
      </c>
      <c r="K675" s="4">
        <v>1890</v>
      </c>
    </row>
    <row r="676" spans="1:11">
      <c r="A676" s="2" t="s">
        <v>238</v>
      </c>
      <c r="B676" s="3" t="s">
        <v>105</v>
      </c>
      <c r="C676" s="3" t="s">
        <v>96</v>
      </c>
      <c r="D676" s="3" t="s">
        <v>111</v>
      </c>
      <c r="E676" s="3">
        <v>31</v>
      </c>
      <c r="F676" s="3">
        <v>43</v>
      </c>
      <c r="G676" s="3">
        <v>90</v>
      </c>
      <c r="H676" s="3">
        <v>50</v>
      </c>
      <c r="I676" s="4">
        <v>3870</v>
      </c>
      <c r="J676" s="4">
        <v>2150</v>
      </c>
      <c r="K676" s="4">
        <v>1720</v>
      </c>
    </row>
    <row r="677" spans="1:11">
      <c r="A677" s="2" t="s">
        <v>414</v>
      </c>
      <c r="B677" s="3" t="s">
        <v>106</v>
      </c>
      <c r="C677" s="3" t="s">
        <v>97</v>
      </c>
      <c r="D677" s="3" t="s">
        <v>111</v>
      </c>
      <c r="E677" s="3">
        <v>36</v>
      </c>
      <c r="F677" s="3">
        <v>169</v>
      </c>
      <c r="G677" s="3">
        <v>130</v>
      </c>
      <c r="H677" s="3">
        <v>70</v>
      </c>
      <c r="I677" s="4">
        <v>21970</v>
      </c>
      <c r="J677" s="4">
        <v>11830</v>
      </c>
      <c r="K677" s="4">
        <v>10140</v>
      </c>
    </row>
    <row r="678" spans="1:11">
      <c r="A678" s="2" t="s">
        <v>445</v>
      </c>
      <c r="B678" s="3" t="s">
        <v>104</v>
      </c>
      <c r="C678" s="3" t="s">
        <v>98</v>
      </c>
      <c r="D678" s="3" t="s">
        <v>110</v>
      </c>
      <c r="E678" s="3">
        <v>31</v>
      </c>
      <c r="F678" s="3">
        <v>109</v>
      </c>
      <c r="G678" s="3">
        <v>100</v>
      </c>
      <c r="H678" s="3">
        <v>55</v>
      </c>
      <c r="I678" s="4">
        <v>10900</v>
      </c>
      <c r="J678" s="4">
        <v>5995</v>
      </c>
      <c r="K678" s="4">
        <v>4905</v>
      </c>
    </row>
    <row r="679" spans="1:11">
      <c r="A679" s="2" t="s">
        <v>192</v>
      </c>
      <c r="B679" s="3" t="s">
        <v>106</v>
      </c>
      <c r="C679" s="3" t="s">
        <v>97</v>
      </c>
      <c r="D679" s="3" t="s">
        <v>111</v>
      </c>
      <c r="E679" s="3">
        <v>34</v>
      </c>
      <c r="F679" s="3">
        <v>55</v>
      </c>
      <c r="G679" s="3">
        <v>130</v>
      </c>
      <c r="H679" s="3">
        <v>70</v>
      </c>
      <c r="I679" s="4">
        <v>7150</v>
      </c>
      <c r="J679" s="4">
        <v>3850</v>
      </c>
      <c r="K679" s="4">
        <v>3300</v>
      </c>
    </row>
    <row r="680" spans="1:11">
      <c r="A680" s="2" t="s">
        <v>360</v>
      </c>
      <c r="B680" s="3" t="s">
        <v>104</v>
      </c>
      <c r="C680" s="3" t="s">
        <v>94</v>
      </c>
      <c r="D680" s="3" t="s">
        <v>111</v>
      </c>
      <c r="E680" s="3">
        <v>29</v>
      </c>
      <c r="F680" s="3">
        <v>98</v>
      </c>
      <c r="G680" s="3">
        <v>80</v>
      </c>
      <c r="H680" s="3">
        <v>45</v>
      </c>
      <c r="I680" s="4">
        <v>7840</v>
      </c>
      <c r="J680" s="4">
        <v>4410</v>
      </c>
      <c r="K680" s="4">
        <v>3430</v>
      </c>
    </row>
    <row r="681" spans="1:11">
      <c r="A681" s="2" t="s">
        <v>146</v>
      </c>
      <c r="B681" s="3" t="s">
        <v>103</v>
      </c>
      <c r="C681" s="3" t="s">
        <v>94</v>
      </c>
      <c r="D681" s="3" t="s">
        <v>111</v>
      </c>
      <c r="E681" s="3">
        <v>24</v>
      </c>
      <c r="F681" s="3">
        <v>29</v>
      </c>
      <c r="G681" s="3">
        <v>80</v>
      </c>
      <c r="H681" s="3">
        <v>45</v>
      </c>
      <c r="I681" s="4">
        <v>2320</v>
      </c>
      <c r="J681" s="4">
        <v>1305</v>
      </c>
      <c r="K681" s="4">
        <v>1015</v>
      </c>
    </row>
    <row r="682" spans="1:11">
      <c r="A682" s="2" t="s">
        <v>405</v>
      </c>
      <c r="B682" s="3" t="s">
        <v>105</v>
      </c>
      <c r="C682" s="3" t="s">
        <v>96</v>
      </c>
      <c r="D682" s="3" t="s">
        <v>110</v>
      </c>
      <c r="E682" s="3">
        <v>18</v>
      </c>
      <c r="F682" s="3">
        <v>22</v>
      </c>
      <c r="G682" s="3">
        <v>90</v>
      </c>
      <c r="H682" s="3">
        <v>50</v>
      </c>
      <c r="I682" s="4">
        <v>1980</v>
      </c>
      <c r="J682" s="4">
        <v>1100</v>
      </c>
      <c r="K682" s="4">
        <v>880</v>
      </c>
    </row>
    <row r="683" spans="1:11">
      <c r="A683" s="2" t="s">
        <v>182</v>
      </c>
      <c r="B683" s="3" t="s">
        <v>103</v>
      </c>
      <c r="C683" s="3" t="s">
        <v>93</v>
      </c>
      <c r="D683" s="3" t="s">
        <v>112</v>
      </c>
      <c r="E683" s="3">
        <v>33</v>
      </c>
      <c r="F683" s="3">
        <v>52</v>
      </c>
      <c r="G683" s="3">
        <v>100</v>
      </c>
      <c r="H683" s="3">
        <v>55</v>
      </c>
      <c r="I683" s="4">
        <v>5200</v>
      </c>
      <c r="J683" s="4">
        <v>2860</v>
      </c>
      <c r="K683" s="4">
        <v>2340</v>
      </c>
    </row>
    <row r="684" spans="1:11">
      <c r="A684" s="2" t="s">
        <v>141</v>
      </c>
      <c r="B684" s="3" t="s">
        <v>105</v>
      </c>
      <c r="C684" s="3" t="s">
        <v>97</v>
      </c>
      <c r="D684" s="3" t="s">
        <v>111</v>
      </c>
      <c r="E684" s="3">
        <v>34</v>
      </c>
      <c r="F684" s="3">
        <v>57</v>
      </c>
      <c r="G684" s="3">
        <v>130</v>
      </c>
      <c r="H684" s="3">
        <v>70</v>
      </c>
      <c r="I684" s="4">
        <v>7410</v>
      </c>
      <c r="J684" s="4">
        <v>3990</v>
      </c>
      <c r="K684" s="4">
        <v>3420</v>
      </c>
    </row>
    <row r="685" spans="1:11">
      <c r="A685" s="2" t="s">
        <v>418</v>
      </c>
      <c r="B685" s="3" t="s">
        <v>104</v>
      </c>
      <c r="C685" s="3" t="s">
        <v>94</v>
      </c>
      <c r="D685" s="3" t="s">
        <v>110</v>
      </c>
      <c r="E685" s="3">
        <v>32</v>
      </c>
      <c r="F685" s="3">
        <v>46</v>
      </c>
      <c r="G685" s="3">
        <v>80</v>
      </c>
      <c r="H685" s="3">
        <v>45</v>
      </c>
      <c r="I685" s="4">
        <v>3680</v>
      </c>
      <c r="J685" s="4">
        <v>2070</v>
      </c>
      <c r="K685" s="4">
        <v>1610</v>
      </c>
    </row>
    <row r="686" spans="1:11">
      <c r="A686" s="2" t="s">
        <v>405</v>
      </c>
      <c r="B686" s="3" t="s">
        <v>104</v>
      </c>
      <c r="C686" s="3" t="s">
        <v>95</v>
      </c>
      <c r="D686" s="3" t="s">
        <v>111</v>
      </c>
      <c r="E686" s="3">
        <v>22</v>
      </c>
      <c r="F686" s="3">
        <v>22</v>
      </c>
      <c r="G686" s="3">
        <v>110</v>
      </c>
      <c r="H686" s="3">
        <v>60</v>
      </c>
      <c r="I686" s="4">
        <v>2420</v>
      </c>
      <c r="J686" s="4">
        <v>1320</v>
      </c>
      <c r="K686" s="4">
        <v>1100</v>
      </c>
    </row>
    <row r="687" spans="1:11">
      <c r="A687" s="2" t="s">
        <v>446</v>
      </c>
      <c r="B687" s="3" t="s">
        <v>103</v>
      </c>
      <c r="C687" s="3" t="s">
        <v>94</v>
      </c>
      <c r="D687" s="3" t="s">
        <v>111</v>
      </c>
      <c r="E687" s="3">
        <v>40</v>
      </c>
      <c r="F687" s="3">
        <v>165</v>
      </c>
      <c r="G687" s="3">
        <v>80</v>
      </c>
      <c r="H687" s="3">
        <v>45</v>
      </c>
      <c r="I687" s="4">
        <v>13200</v>
      </c>
      <c r="J687" s="4">
        <v>7425</v>
      </c>
      <c r="K687" s="4">
        <v>5775</v>
      </c>
    </row>
    <row r="688" spans="1:11">
      <c r="A688" s="2" t="s">
        <v>255</v>
      </c>
      <c r="B688" s="3" t="s">
        <v>104</v>
      </c>
      <c r="C688" s="3" t="s">
        <v>96</v>
      </c>
      <c r="D688" s="3" t="s">
        <v>110</v>
      </c>
      <c r="E688" s="3">
        <v>35</v>
      </c>
      <c r="F688" s="3">
        <v>106</v>
      </c>
      <c r="G688" s="3">
        <v>90</v>
      </c>
      <c r="H688" s="3">
        <v>50</v>
      </c>
      <c r="I688" s="4">
        <v>9540</v>
      </c>
      <c r="J688" s="4">
        <v>5300</v>
      </c>
      <c r="K688" s="4">
        <v>4240</v>
      </c>
    </row>
    <row r="689" spans="1:11">
      <c r="A689" s="2" t="s">
        <v>402</v>
      </c>
      <c r="B689" s="3" t="s">
        <v>103</v>
      </c>
      <c r="C689" s="3" t="s">
        <v>98</v>
      </c>
      <c r="D689" s="3" t="s">
        <v>110</v>
      </c>
      <c r="E689" s="3">
        <v>40</v>
      </c>
      <c r="F689" s="3">
        <v>147</v>
      </c>
      <c r="G689" s="3">
        <v>100</v>
      </c>
      <c r="H689" s="3">
        <v>55</v>
      </c>
      <c r="I689" s="4">
        <v>14700</v>
      </c>
      <c r="J689" s="4">
        <v>8085</v>
      </c>
      <c r="K689" s="4">
        <v>6615</v>
      </c>
    </row>
    <row r="690" spans="1:11">
      <c r="A690" s="2" t="s">
        <v>223</v>
      </c>
      <c r="B690" s="3" t="s">
        <v>105</v>
      </c>
      <c r="C690" s="3" t="s">
        <v>94</v>
      </c>
      <c r="D690" s="3" t="s">
        <v>110</v>
      </c>
      <c r="E690" s="3">
        <v>33</v>
      </c>
      <c r="F690" s="3">
        <v>86</v>
      </c>
      <c r="G690" s="3">
        <v>80</v>
      </c>
      <c r="H690" s="3">
        <v>45</v>
      </c>
      <c r="I690" s="4">
        <v>6880</v>
      </c>
      <c r="J690" s="4">
        <v>3870</v>
      </c>
      <c r="K690" s="4">
        <v>3010</v>
      </c>
    </row>
    <row r="691" spans="1:11">
      <c r="A691" s="2" t="s">
        <v>306</v>
      </c>
      <c r="B691" s="3" t="s">
        <v>105</v>
      </c>
      <c r="C691" s="3" t="s">
        <v>97</v>
      </c>
      <c r="D691" s="3" t="s">
        <v>111</v>
      </c>
      <c r="E691" s="3">
        <v>34</v>
      </c>
      <c r="F691" s="3">
        <v>91</v>
      </c>
      <c r="G691" s="3">
        <v>130</v>
      </c>
      <c r="H691" s="3">
        <v>70</v>
      </c>
      <c r="I691" s="4">
        <v>11830</v>
      </c>
      <c r="J691" s="4">
        <v>6370</v>
      </c>
      <c r="K691" s="4">
        <v>5460</v>
      </c>
    </row>
    <row r="692" spans="1:11">
      <c r="A692" s="2" t="s">
        <v>395</v>
      </c>
      <c r="B692" s="3" t="s">
        <v>105</v>
      </c>
      <c r="C692" s="3" t="s">
        <v>96</v>
      </c>
      <c r="D692" s="3" t="s">
        <v>110</v>
      </c>
      <c r="E692" s="3">
        <v>39</v>
      </c>
      <c r="F692" s="3">
        <v>134</v>
      </c>
      <c r="G692" s="3">
        <v>90</v>
      </c>
      <c r="H692" s="3">
        <v>50</v>
      </c>
      <c r="I692" s="4">
        <v>12060</v>
      </c>
      <c r="J692" s="4">
        <v>6700</v>
      </c>
      <c r="K692" s="4">
        <v>5360</v>
      </c>
    </row>
    <row r="693" spans="1:11">
      <c r="A693" s="2" t="s">
        <v>425</v>
      </c>
      <c r="B693" s="3" t="s">
        <v>103</v>
      </c>
      <c r="C693" s="3" t="s">
        <v>93</v>
      </c>
      <c r="D693" s="3" t="s">
        <v>110</v>
      </c>
      <c r="E693" s="3">
        <v>28</v>
      </c>
      <c r="F693" s="3">
        <v>93</v>
      </c>
      <c r="G693" s="3">
        <v>100</v>
      </c>
      <c r="H693" s="3">
        <v>55</v>
      </c>
      <c r="I693" s="4">
        <v>9300</v>
      </c>
      <c r="J693" s="4">
        <v>5115</v>
      </c>
      <c r="K693" s="4">
        <v>4185</v>
      </c>
    </row>
    <row r="694" spans="1:11">
      <c r="A694" s="2" t="s">
        <v>432</v>
      </c>
      <c r="B694" s="3" t="s">
        <v>103</v>
      </c>
      <c r="C694" s="3" t="s">
        <v>94</v>
      </c>
      <c r="D694" s="3" t="s">
        <v>110</v>
      </c>
      <c r="E694" s="3">
        <v>18</v>
      </c>
      <c r="F694" s="3">
        <v>33</v>
      </c>
      <c r="G694" s="3">
        <v>80</v>
      </c>
      <c r="H694" s="3">
        <v>45</v>
      </c>
      <c r="I694" s="4">
        <v>2640</v>
      </c>
      <c r="J694" s="4">
        <v>1485</v>
      </c>
      <c r="K694" s="4">
        <v>1155</v>
      </c>
    </row>
    <row r="695" spans="1:11">
      <c r="A695" s="2" t="s">
        <v>337</v>
      </c>
      <c r="B695" s="3" t="s">
        <v>105</v>
      </c>
      <c r="C695" s="3" t="s">
        <v>97</v>
      </c>
      <c r="D695" s="3" t="s">
        <v>112</v>
      </c>
      <c r="E695" s="3">
        <v>37</v>
      </c>
      <c r="F695" s="3">
        <v>66</v>
      </c>
      <c r="G695" s="3">
        <v>130</v>
      </c>
      <c r="H695" s="3">
        <v>70</v>
      </c>
      <c r="I695" s="4">
        <v>8580</v>
      </c>
      <c r="J695" s="4">
        <v>4620</v>
      </c>
      <c r="K695" s="4">
        <v>3960</v>
      </c>
    </row>
    <row r="696" spans="1:11">
      <c r="A696" s="2" t="s">
        <v>166</v>
      </c>
      <c r="B696" s="3" t="s">
        <v>103</v>
      </c>
      <c r="C696" s="3" t="s">
        <v>94</v>
      </c>
      <c r="D696" s="3" t="s">
        <v>111</v>
      </c>
      <c r="E696" s="3">
        <v>34</v>
      </c>
      <c r="F696" s="3">
        <v>86</v>
      </c>
      <c r="G696" s="3">
        <v>80</v>
      </c>
      <c r="H696" s="3">
        <v>45</v>
      </c>
      <c r="I696" s="4">
        <v>6880</v>
      </c>
      <c r="J696" s="4">
        <v>3870</v>
      </c>
      <c r="K696" s="4">
        <v>3010</v>
      </c>
    </row>
    <row r="697" spans="1:11">
      <c r="A697" s="2" t="s">
        <v>447</v>
      </c>
      <c r="B697" s="3" t="s">
        <v>103</v>
      </c>
      <c r="C697" s="3" t="s">
        <v>95</v>
      </c>
      <c r="D697" s="3" t="s">
        <v>110</v>
      </c>
      <c r="E697" s="3">
        <v>29</v>
      </c>
      <c r="F697" s="3">
        <v>87</v>
      </c>
      <c r="G697" s="3">
        <v>110</v>
      </c>
      <c r="H697" s="3">
        <v>60</v>
      </c>
      <c r="I697" s="4">
        <v>9570</v>
      </c>
      <c r="J697" s="4">
        <v>5220</v>
      </c>
      <c r="K697" s="4">
        <v>4350</v>
      </c>
    </row>
    <row r="698" spans="1:11">
      <c r="A698" s="2" t="s">
        <v>300</v>
      </c>
      <c r="B698" s="3" t="s">
        <v>105</v>
      </c>
      <c r="C698" s="3" t="s">
        <v>95</v>
      </c>
      <c r="D698" s="3" t="s">
        <v>111</v>
      </c>
      <c r="E698" s="3">
        <v>28</v>
      </c>
      <c r="F698" s="3">
        <v>87</v>
      </c>
      <c r="G698" s="3">
        <v>110</v>
      </c>
      <c r="H698" s="3">
        <v>60</v>
      </c>
      <c r="I698" s="4">
        <v>9570</v>
      </c>
      <c r="J698" s="4">
        <v>5220</v>
      </c>
      <c r="K698" s="4">
        <v>4350</v>
      </c>
    </row>
    <row r="699" spans="1:11">
      <c r="A699" s="2" t="s">
        <v>347</v>
      </c>
      <c r="B699" s="3" t="s">
        <v>104</v>
      </c>
      <c r="C699" s="3" t="s">
        <v>94</v>
      </c>
      <c r="D699" s="3" t="s">
        <v>110</v>
      </c>
      <c r="E699" s="3">
        <v>33</v>
      </c>
      <c r="F699" s="3">
        <v>77</v>
      </c>
      <c r="G699" s="3">
        <v>80</v>
      </c>
      <c r="H699" s="3">
        <v>45</v>
      </c>
      <c r="I699" s="4">
        <v>6160</v>
      </c>
      <c r="J699" s="4">
        <v>3465</v>
      </c>
      <c r="K699" s="4">
        <v>2695</v>
      </c>
    </row>
    <row r="700" spans="1:11">
      <c r="A700" s="2" t="s">
        <v>419</v>
      </c>
      <c r="B700" s="3" t="s">
        <v>103</v>
      </c>
      <c r="C700" s="3" t="s">
        <v>97</v>
      </c>
      <c r="D700" s="3" t="s">
        <v>110</v>
      </c>
      <c r="E700" s="3">
        <v>37</v>
      </c>
      <c r="F700" s="3">
        <v>181</v>
      </c>
      <c r="G700" s="3">
        <v>130</v>
      </c>
      <c r="H700" s="3">
        <v>70</v>
      </c>
      <c r="I700" s="4">
        <v>23530</v>
      </c>
      <c r="J700" s="4">
        <v>12670</v>
      </c>
      <c r="K700" s="4">
        <v>10860</v>
      </c>
    </row>
    <row r="701" spans="1:11">
      <c r="A701" s="2" t="s">
        <v>402</v>
      </c>
      <c r="B701" s="3" t="s">
        <v>105</v>
      </c>
      <c r="C701" s="3" t="s">
        <v>94</v>
      </c>
      <c r="D701" s="3" t="s">
        <v>110</v>
      </c>
      <c r="E701" s="3">
        <v>40</v>
      </c>
      <c r="F701" s="3">
        <v>168</v>
      </c>
      <c r="G701" s="3">
        <v>80</v>
      </c>
      <c r="H701" s="3">
        <v>45</v>
      </c>
      <c r="I701" s="4">
        <v>13440</v>
      </c>
      <c r="J701" s="4">
        <v>7560</v>
      </c>
      <c r="K701" s="4">
        <v>5880</v>
      </c>
    </row>
    <row r="702" spans="1:11">
      <c r="A702" s="2" t="s">
        <v>448</v>
      </c>
      <c r="B702" s="3" t="s">
        <v>103</v>
      </c>
      <c r="C702" s="3" t="s">
        <v>94</v>
      </c>
      <c r="D702" s="3" t="s">
        <v>110</v>
      </c>
      <c r="E702" s="3">
        <v>29</v>
      </c>
      <c r="F702" s="3">
        <v>102</v>
      </c>
      <c r="G702" s="3">
        <v>80</v>
      </c>
      <c r="H702" s="3">
        <v>45</v>
      </c>
      <c r="I702" s="4">
        <v>8160</v>
      </c>
      <c r="J702" s="4">
        <v>4590</v>
      </c>
      <c r="K702" s="4">
        <v>3570</v>
      </c>
    </row>
    <row r="703" spans="1:11">
      <c r="A703" s="2" t="s">
        <v>230</v>
      </c>
      <c r="B703" s="3" t="s">
        <v>106</v>
      </c>
      <c r="C703" s="3" t="s">
        <v>96</v>
      </c>
      <c r="D703" s="3" t="s">
        <v>111</v>
      </c>
      <c r="E703" s="3">
        <v>18</v>
      </c>
      <c r="F703" s="3">
        <v>36</v>
      </c>
      <c r="G703" s="3">
        <v>90</v>
      </c>
      <c r="H703" s="3">
        <v>50</v>
      </c>
      <c r="I703" s="4">
        <v>3240</v>
      </c>
      <c r="J703" s="4">
        <v>1800</v>
      </c>
      <c r="K703" s="4">
        <v>1440</v>
      </c>
    </row>
    <row r="704" spans="1:11">
      <c r="A704" s="2" t="s">
        <v>303</v>
      </c>
      <c r="B704" s="3" t="s">
        <v>106</v>
      </c>
      <c r="C704" s="3" t="s">
        <v>93</v>
      </c>
      <c r="D704" s="3" t="s">
        <v>110</v>
      </c>
      <c r="E704" s="3">
        <v>27</v>
      </c>
      <c r="F704" s="3">
        <v>76</v>
      </c>
      <c r="G704" s="3">
        <v>100</v>
      </c>
      <c r="H704" s="3">
        <v>55</v>
      </c>
      <c r="I704" s="4">
        <v>7600</v>
      </c>
      <c r="J704" s="4">
        <v>4180</v>
      </c>
      <c r="K704" s="4">
        <v>3420</v>
      </c>
    </row>
    <row r="705" spans="1:11">
      <c r="A705" s="2" t="s">
        <v>438</v>
      </c>
      <c r="B705" s="3" t="s">
        <v>105</v>
      </c>
      <c r="C705" s="3" t="s">
        <v>93</v>
      </c>
      <c r="D705" s="3" t="s">
        <v>110</v>
      </c>
      <c r="E705" s="3">
        <v>24</v>
      </c>
      <c r="F705" s="3">
        <v>57</v>
      </c>
      <c r="G705" s="3">
        <v>100</v>
      </c>
      <c r="H705" s="3">
        <v>55</v>
      </c>
      <c r="I705" s="4">
        <v>5700</v>
      </c>
      <c r="J705" s="4">
        <v>3135</v>
      </c>
      <c r="K705" s="4">
        <v>2565</v>
      </c>
    </row>
    <row r="706" spans="1:11">
      <c r="A706" s="2" t="s">
        <v>353</v>
      </c>
      <c r="B706" s="3" t="s">
        <v>105</v>
      </c>
      <c r="C706" s="3" t="s">
        <v>93</v>
      </c>
      <c r="D706" s="3" t="s">
        <v>112</v>
      </c>
      <c r="E706" s="3">
        <v>40</v>
      </c>
      <c r="F706" s="3">
        <v>198</v>
      </c>
      <c r="G706" s="3">
        <v>100</v>
      </c>
      <c r="H706" s="3">
        <v>55</v>
      </c>
      <c r="I706" s="4">
        <v>19800</v>
      </c>
      <c r="J706" s="4">
        <v>10890</v>
      </c>
      <c r="K706" s="4">
        <v>8910</v>
      </c>
    </row>
    <row r="707" spans="1:11">
      <c r="A707" s="2" t="s">
        <v>228</v>
      </c>
      <c r="B707" s="3" t="s">
        <v>103</v>
      </c>
      <c r="C707" s="3" t="s">
        <v>98</v>
      </c>
      <c r="D707" s="3" t="s">
        <v>111</v>
      </c>
      <c r="E707" s="3">
        <v>21</v>
      </c>
      <c r="F707" s="3">
        <v>42</v>
      </c>
      <c r="G707" s="3">
        <v>100</v>
      </c>
      <c r="H707" s="3">
        <v>55</v>
      </c>
      <c r="I707" s="4">
        <v>4200</v>
      </c>
      <c r="J707" s="4">
        <v>2310</v>
      </c>
      <c r="K707" s="4">
        <v>1890</v>
      </c>
    </row>
    <row r="708" spans="1:11">
      <c r="A708" s="2" t="s">
        <v>236</v>
      </c>
      <c r="B708" s="3" t="s">
        <v>106</v>
      </c>
      <c r="C708" s="3" t="s">
        <v>95</v>
      </c>
      <c r="D708" s="3" t="s">
        <v>110</v>
      </c>
      <c r="E708" s="3">
        <v>34</v>
      </c>
      <c r="F708" s="3">
        <v>108</v>
      </c>
      <c r="G708" s="3">
        <v>110</v>
      </c>
      <c r="H708" s="3">
        <v>60</v>
      </c>
      <c r="I708" s="4">
        <v>11880</v>
      </c>
      <c r="J708" s="4">
        <v>6480</v>
      </c>
      <c r="K708" s="4">
        <v>5400</v>
      </c>
    </row>
    <row r="709" spans="1:11">
      <c r="A709" s="2" t="s">
        <v>176</v>
      </c>
      <c r="B709" s="3" t="s">
        <v>104</v>
      </c>
      <c r="C709" s="3" t="s">
        <v>96</v>
      </c>
      <c r="D709" s="3" t="s">
        <v>110</v>
      </c>
      <c r="E709" s="3">
        <v>32</v>
      </c>
      <c r="F709" s="3">
        <v>76</v>
      </c>
      <c r="G709" s="3">
        <v>90</v>
      </c>
      <c r="H709" s="3">
        <v>50</v>
      </c>
      <c r="I709" s="4">
        <v>6840</v>
      </c>
      <c r="J709" s="4">
        <v>3800</v>
      </c>
      <c r="K709" s="4">
        <v>3040</v>
      </c>
    </row>
    <row r="710" spans="1:11">
      <c r="A710" s="2" t="s">
        <v>383</v>
      </c>
      <c r="B710" s="3" t="s">
        <v>106</v>
      </c>
      <c r="C710" s="3" t="s">
        <v>97</v>
      </c>
      <c r="D710" s="3" t="s">
        <v>111</v>
      </c>
      <c r="E710" s="3">
        <v>33</v>
      </c>
      <c r="F710" s="3">
        <v>89</v>
      </c>
      <c r="G710" s="3">
        <v>130</v>
      </c>
      <c r="H710" s="3">
        <v>70</v>
      </c>
      <c r="I710" s="4">
        <v>11570</v>
      </c>
      <c r="J710" s="4">
        <v>6230</v>
      </c>
      <c r="K710" s="4">
        <v>5340</v>
      </c>
    </row>
    <row r="711" spans="1:11">
      <c r="A711" s="2" t="s">
        <v>351</v>
      </c>
      <c r="B711" s="3" t="s">
        <v>103</v>
      </c>
      <c r="C711" s="3" t="s">
        <v>93</v>
      </c>
      <c r="D711" s="3" t="s">
        <v>111</v>
      </c>
      <c r="E711" s="3">
        <v>36</v>
      </c>
      <c r="F711" s="3">
        <v>110</v>
      </c>
      <c r="G711" s="3">
        <v>100</v>
      </c>
      <c r="H711" s="3">
        <v>55</v>
      </c>
      <c r="I711" s="4">
        <v>11000</v>
      </c>
      <c r="J711" s="4">
        <v>6050</v>
      </c>
      <c r="K711" s="4">
        <v>4950</v>
      </c>
    </row>
    <row r="712" spans="1:11">
      <c r="A712" s="2" t="s">
        <v>317</v>
      </c>
      <c r="B712" s="3" t="s">
        <v>104</v>
      </c>
      <c r="C712" s="3" t="s">
        <v>94</v>
      </c>
      <c r="D712" s="3" t="s">
        <v>110</v>
      </c>
      <c r="E712" s="3">
        <v>34</v>
      </c>
      <c r="F712" s="3">
        <v>98</v>
      </c>
      <c r="G712" s="3">
        <v>80</v>
      </c>
      <c r="H712" s="3">
        <v>45</v>
      </c>
      <c r="I712" s="4">
        <v>7840</v>
      </c>
      <c r="J712" s="4">
        <v>4410</v>
      </c>
      <c r="K712" s="4">
        <v>3430</v>
      </c>
    </row>
    <row r="713" spans="1:11">
      <c r="A713" s="2" t="s">
        <v>392</v>
      </c>
      <c r="B713" s="3" t="s">
        <v>105</v>
      </c>
      <c r="C713" s="3" t="s">
        <v>96</v>
      </c>
      <c r="D713" s="3" t="s">
        <v>110</v>
      </c>
      <c r="E713" s="3">
        <v>32</v>
      </c>
      <c r="F713" s="3">
        <v>59</v>
      </c>
      <c r="G713" s="3">
        <v>90</v>
      </c>
      <c r="H713" s="3">
        <v>50</v>
      </c>
      <c r="I713" s="4">
        <v>5310</v>
      </c>
      <c r="J713" s="4">
        <v>2950</v>
      </c>
      <c r="K713" s="4">
        <v>2360</v>
      </c>
    </row>
    <row r="714" spans="1:11">
      <c r="A714" s="2" t="s">
        <v>216</v>
      </c>
      <c r="B714" s="3" t="s">
        <v>105</v>
      </c>
      <c r="C714" s="3" t="s">
        <v>95</v>
      </c>
      <c r="D714" s="3" t="s">
        <v>111</v>
      </c>
      <c r="E714" s="3">
        <v>37</v>
      </c>
      <c r="F714" s="3">
        <v>174</v>
      </c>
      <c r="G714" s="3">
        <v>110</v>
      </c>
      <c r="H714" s="3">
        <v>60</v>
      </c>
      <c r="I714" s="4">
        <v>19140</v>
      </c>
      <c r="J714" s="4">
        <v>10440</v>
      </c>
      <c r="K714" s="4">
        <v>8700</v>
      </c>
    </row>
    <row r="715" spans="1:11">
      <c r="A715" s="2" t="s">
        <v>161</v>
      </c>
      <c r="B715" s="3" t="s">
        <v>103</v>
      </c>
      <c r="C715" s="3" t="s">
        <v>97</v>
      </c>
      <c r="D715" s="3" t="s">
        <v>112</v>
      </c>
      <c r="E715" s="3">
        <v>27</v>
      </c>
      <c r="F715" s="3">
        <v>85</v>
      </c>
      <c r="G715" s="3">
        <v>130</v>
      </c>
      <c r="H715" s="3">
        <v>70</v>
      </c>
      <c r="I715" s="4">
        <v>11050</v>
      </c>
      <c r="J715" s="4">
        <v>5950</v>
      </c>
      <c r="K715" s="4">
        <v>5100</v>
      </c>
    </row>
    <row r="716" spans="1:11">
      <c r="A716" s="2" t="s">
        <v>428</v>
      </c>
      <c r="B716" s="3" t="s">
        <v>103</v>
      </c>
      <c r="C716" s="3" t="s">
        <v>94</v>
      </c>
      <c r="D716" s="3" t="s">
        <v>111</v>
      </c>
      <c r="E716" s="3">
        <v>33</v>
      </c>
      <c r="F716" s="3">
        <v>51</v>
      </c>
      <c r="G716" s="3">
        <v>80</v>
      </c>
      <c r="H716" s="3">
        <v>45</v>
      </c>
      <c r="I716" s="4">
        <v>4080</v>
      </c>
      <c r="J716" s="4">
        <v>2295</v>
      </c>
      <c r="K716" s="4">
        <v>1785</v>
      </c>
    </row>
    <row r="717" spans="1:11">
      <c r="A717" s="2" t="s">
        <v>150</v>
      </c>
      <c r="B717" s="3" t="s">
        <v>103</v>
      </c>
      <c r="C717" s="3" t="s">
        <v>96</v>
      </c>
      <c r="D717" s="3" t="s">
        <v>111</v>
      </c>
      <c r="E717" s="3">
        <v>32</v>
      </c>
      <c r="F717" s="3">
        <v>198</v>
      </c>
      <c r="G717" s="3">
        <v>90</v>
      </c>
      <c r="H717" s="3">
        <v>50</v>
      </c>
      <c r="I717" s="4">
        <v>17820</v>
      </c>
      <c r="J717" s="4">
        <v>9900</v>
      </c>
      <c r="K717" s="4">
        <v>7920</v>
      </c>
    </row>
    <row r="718" spans="1:11">
      <c r="A718" s="2" t="s">
        <v>175</v>
      </c>
      <c r="B718" s="3" t="s">
        <v>104</v>
      </c>
      <c r="C718" s="3" t="s">
        <v>93</v>
      </c>
      <c r="D718" s="3" t="s">
        <v>110</v>
      </c>
      <c r="E718" s="3">
        <v>18</v>
      </c>
      <c r="F718" s="3">
        <v>56</v>
      </c>
      <c r="G718" s="3">
        <v>100</v>
      </c>
      <c r="H718" s="3">
        <v>55</v>
      </c>
      <c r="I718" s="4">
        <v>5600</v>
      </c>
      <c r="J718" s="4">
        <v>3080</v>
      </c>
      <c r="K718" s="4">
        <v>2520</v>
      </c>
    </row>
    <row r="719" spans="1:11">
      <c r="A719" s="2" t="s">
        <v>374</v>
      </c>
      <c r="B719" s="3" t="s">
        <v>103</v>
      </c>
      <c r="C719" s="3" t="s">
        <v>96</v>
      </c>
      <c r="D719" s="3" t="s">
        <v>111</v>
      </c>
      <c r="E719" s="3">
        <v>23</v>
      </c>
      <c r="F719" s="3">
        <v>57</v>
      </c>
      <c r="G719" s="3">
        <v>90</v>
      </c>
      <c r="H719" s="3">
        <v>50</v>
      </c>
      <c r="I719" s="4">
        <v>5130</v>
      </c>
      <c r="J719" s="4">
        <v>2850</v>
      </c>
      <c r="K719" s="4">
        <v>2280</v>
      </c>
    </row>
    <row r="720" spans="1:11">
      <c r="A720" s="2" t="s">
        <v>319</v>
      </c>
      <c r="B720" s="3" t="s">
        <v>104</v>
      </c>
      <c r="C720" s="3" t="s">
        <v>94</v>
      </c>
      <c r="D720" s="3" t="s">
        <v>111</v>
      </c>
      <c r="E720" s="3">
        <v>32</v>
      </c>
      <c r="F720" s="3">
        <v>103</v>
      </c>
      <c r="G720" s="3">
        <v>80</v>
      </c>
      <c r="H720" s="3">
        <v>45</v>
      </c>
      <c r="I720" s="4">
        <v>8240</v>
      </c>
      <c r="J720" s="4">
        <v>4635</v>
      </c>
      <c r="K720" s="4">
        <v>3605</v>
      </c>
    </row>
    <row r="721" spans="1:11">
      <c r="A721" s="2" t="s">
        <v>429</v>
      </c>
      <c r="B721" s="3" t="s">
        <v>103</v>
      </c>
      <c r="C721" s="3" t="s">
        <v>94</v>
      </c>
      <c r="D721" s="3" t="s">
        <v>111</v>
      </c>
      <c r="E721" s="3">
        <v>26</v>
      </c>
      <c r="F721" s="3">
        <v>87</v>
      </c>
      <c r="G721" s="3">
        <v>80</v>
      </c>
      <c r="H721" s="3">
        <v>45</v>
      </c>
      <c r="I721" s="4">
        <v>6960</v>
      </c>
      <c r="J721" s="4">
        <v>3915</v>
      </c>
      <c r="K721" s="4">
        <v>3045</v>
      </c>
    </row>
    <row r="722" spans="1:11">
      <c r="A722" s="2" t="s">
        <v>145</v>
      </c>
      <c r="B722" s="3" t="s">
        <v>106</v>
      </c>
      <c r="C722" s="3" t="s">
        <v>96</v>
      </c>
      <c r="D722" s="3" t="s">
        <v>110</v>
      </c>
      <c r="E722" s="3">
        <v>31</v>
      </c>
      <c r="F722" s="3">
        <v>35</v>
      </c>
      <c r="G722" s="3">
        <v>90</v>
      </c>
      <c r="H722" s="3">
        <v>50</v>
      </c>
      <c r="I722" s="4">
        <v>3150</v>
      </c>
      <c r="J722" s="4">
        <v>1750</v>
      </c>
      <c r="K722" s="4">
        <v>1400</v>
      </c>
    </row>
    <row r="723" spans="1:11">
      <c r="A723" s="2" t="s">
        <v>392</v>
      </c>
      <c r="B723" s="3" t="s">
        <v>106</v>
      </c>
      <c r="C723" s="3" t="s">
        <v>95</v>
      </c>
      <c r="D723" s="3" t="s">
        <v>111</v>
      </c>
      <c r="E723" s="3">
        <v>32</v>
      </c>
      <c r="F723" s="3">
        <v>43</v>
      </c>
      <c r="G723" s="3">
        <v>110</v>
      </c>
      <c r="H723" s="3">
        <v>60</v>
      </c>
      <c r="I723" s="4">
        <v>4730</v>
      </c>
      <c r="J723" s="4">
        <v>2580</v>
      </c>
      <c r="K723" s="4">
        <v>2150</v>
      </c>
    </row>
    <row r="724" spans="1:11">
      <c r="A724" s="2" t="s">
        <v>372</v>
      </c>
      <c r="B724" s="3" t="s">
        <v>105</v>
      </c>
      <c r="C724" s="3" t="s">
        <v>94</v>
      </c>
      <c r="D724" s="3" t="s">
        <v>112</v>
      </c>
      <c r="E724" s="3">
        <v>26</v>
      </c>
      <c r="F724" s="3">
        <v>64</v>
      </c>
      <c r="G724" s="3">
        <v>80</v>
      </c>
      <c r="H724" s="3">
        <v>45</v>
      </c>
      <c r="I724" s="4">
        <v>5120</v>
      </c>
      <c r="J724" s="4">
        <v>2880</v>
      </c>
      <c r="K724" s="4">
        <v>2240</v>
      </c>
    </row>
    <row r="725" spans="1:11">
      <c r="A725" s="2" t="s">
        <v>318</v>
      </c>
      <c r="B725" s="3" t="s">
        <v>106</v>
      </c>
      <c r="C725" s="3" t="s">
        <v>95</v>
      </c>
      <c r="D725" s="3" t="s">
        <v>110</v>
      </c>
      <c r="E725" s="3">
        <v>32</v>
      </c>
      <c r="F725" s="3">
        <v>110</v>
      </c>
      <c r="G725" s="3">
        <v>110</v>
      </c>
      <c r="H725" s="3">
        <v>60</v>
      </c>
      <c r="I725" s="4">
        <v>12100</v>
      </c>
      <c r="J725" s="4">
        <v>6600</v>
      </c>
      <c r="K725" s="4">
        <v>5500</v>
      </c>
    </row>
    <row r="726" spans="1:11">
      <c r="A726" s="2" t="s">
        <v>258</v>
      </c>
      <c r="B726" s="3" t="s">
        <v>103</v>
      </c>
      <c r="C726" s="3" t="s">
        <v>93</v>
      </c>
      <c r="D726" s="3" t="s">
        <v>110</v>
      </c>
      <c r="E726" s="3">
        <v>23</v>
      </c>
      <c r="F726" s="3">
        <v>22</v>
      </c>
      <c r="G726" s="3">
        <v>100</v>
      </c>
      <c r="H726" s="3">
        <v>55</v>
      </c>
      <c r="I726" s="4">
        <v>2200</v>
      </c>
      <c r="J726" s="4">
        <v>1210</v>
      </c>
      <c r="K726" s="4">
        <v>990</v>
      </c>
    </row>
    <row r="727" spans="1:11">
      <c r="A727" s="2" t="s">
        <v>417</v>
      </c>
      <c r="B727" s="3" t="s">
        <v>103</v>
      </c>
      <c r="C727" s="3" t="s">
        <v>96</v>
      </c>
      <c r="D727" s="3" t="s">
        <v>110</v>
      </c>
      <c r="E727" s="3">
        <v>25</v>
      </c>
      <c r="F727" s="3">
        <v>13</v>
      </c>
      <c r="G727" s="3">
        <v>90</v>
      </c>
      <c r="H727" s="3">
        <v>50</v>
      </c>
      <c r="I727" s="4">
        <v>1170</v>
      </c>
      <c r="J727" s="4">
        <v>650</v>
      </c>
      <c r="K727" s="4">
        <v>520</v>
      </c>
    </row>
    <row r="728" spans="1:11">
      <c r="A728" s="2" t="s">
        <v>154</v>
      </c>
      <c r="B728" s="3" t="s">
        <v>106</v>
      </c>
      <c r="C728" s="3" t="s">
        <v>94</v>
      </c>
      <c r="D728" s="3" t="s">
        <v>110</v>
      </c>
      <c r="E728" s="3">
        <v>27</v>
      </c>
      <c r="F728" s="3">
        <v>57</v>
      </c>
      <c r="G728" s="3">
        <v>80</v>
      </c>
      <c r="H728" s="3">
        <v>45</v>
      </c>
      <c r="I728" s="4">
        <v>4560</v>
      </c>
      <c r="J728" s="4">
        <v>2565</v>
      </c>
      <c r="K728" s="4">
        <v>1995</v>
      </c>
    </row>
    <row r="729" spans="1:11">
      <c r="A729" s="2" t="s">
        <v>449</v>
      </c>
      <c r="B729" s="3" t="s">
        <v>103</v>
      </c>
      <c r="C729" s="3" t="s">
        <v>94</v>
      </c>
      <c r="D729" s="3" t="s">
        <v>112</v>
      </c>
      <c r="E729" s="3">
        <v>34</v>
      </c>
      <c r="F729" s="3">
        <v>60</v>
      </c>
      <c r="G729" s="3">
        <v>80</v>
      </c>
      <c r="H729" s="3">
        <v>45</v>
      </c>
      <c r="I729" s="4">
        <v>4800</v>
      </c>
      <c r="J729" s="4">
        <v>2700</v>
      </c>
      <c r="K729" s="4">
        <v>2100</v>
      </c>
    </row>
    <row r="730" spans="1:11">
      <c r="A730" s="2" t="s">
        <v>442</v>
      </c>
      <c r="B730" s="3" t="s">
        <v>103</v>
      </c>
      <c r="C730" s="3" t="s">
        <v>98</v>
      </c>
      <c r="D730" s="3" t="s">
        <v>110</v>
      </c>
      <c r="E730" s="3">
        <v>28</v>
      </c>
      <c r="F730" s="3">
        <v>86</v>
      </c>
      <c r="G730" s="3">
        <v>100</v>
      </c>
      <c r="H730" s="3">
        <v>55</v>
      </c>
      <c r="I730" s="4">
        <v>8600</v>
      </c>
      <c r="J730" s="4">
        <v>4730</v>
      </c>
      <c r="K730" s="4">
        <v>3870</v>
      </c>
    </row>
    <row r="731" spans="1:11">
      <c r="A731" s="2" t="s">
        <v>220</v>
      </c>
      <c r="B731" s="3" t="s">
        <v>104</v>
      </c>
      <c r="C731" s="3" t="s">
        <v>95</v>
      </c>
      <c r="D731" s="3" t="s">
        <v>111</v>
      </c>
      <c r="E731" s="3">
        <v>27</v>
      </c>
      <c r="F731" s="3">
        <v>68</v>
      </c>
      <c r="G731" s="3">
        <v>110</v>
      </c>
      <c r="H731" s="3">
        <v>60</v>
      </c>
      <c r="I731" s="4">
        <v>7480</v>
      </c>
      <c r="J731" s="4">
        <v>4080</v>
      </c>
      <c r="K731" s="4">
        <v>3400</v>
      </c>
    </row>
    <row r="732" spans="1:11">
      <c r="A732" s="2" t="s">
        <v>365</v>
      </c>
      <c r="B732" s="3" t="s">
        <v>105</v>
      </c>
      <c r="C732" s="3" t="s">
        <v>98</v>
      </c>
      <c r="D732" s="3" t="s">
        <v>110</v>
      </c>
      <c r="E732" s="3">
        <v>35</v>
      </c>
      <c r="F732" s="3">
        <v>171</v>
      </c>
      <c r="G732" s="3">
        <v>100</v>
      </c>
      <c r="H732" s="3">
        <v>55</v>
      </c>
      <c r="I732" s="4">
        <v>17100</v>
      </c>
      <c r="J732" s="4">
        <v>9405</v>
      </c>
      <c r="K732" s="4">
        <v>7695</v>
      </c>
    </row>
    <row r="733" spans="1:11">
      <c r="A733" s="2" t="s">
        <v>390</v>
      </c>
      <c r="B733" s="3" t="s">
        <v>103</v>
      </c>
      <c r="C733" s="3" t="s">
        <v>97</v>
      </c>
      <c r="D733" s="3" t="s">
        <v>111</v>
      </c>
      <c r="E733" s="3">
        <v>40</v>
      </c>
      <c r="F733" s="3">
        <v>171</v>
      </c>
      <c r="G733" s="3">
        <v>130</v>
      </c>
      <c r="H733" s="3">
        <v>70</v>
      </c>
      <c r="I733" s="4">
        <v>22230</v>
      </c>
      <c r="J733" s="4">
        <v>11970</v>
      </c>
      <c r="K733" s="4">
        <v>10260</v>
      </c>
    </row>
    <row r="734" spans="1:11">
      <c r="A734" s="2" t="s">
        <v>238</v>
      </c>
      <c r="B734" s="3" t="s">
        <v>103</v>
      </c>
      <c r="C734" s="3" t="s">
        <v>97</v>
      </c>
      <c r="D734" s="3" t="s">
        <v>112</v>
      </c>
      <c r="E734" s="3">
        <v>28</v>
      </c>
      <c r="F734" s="3">
        <v>92</v>
      </c>
      <c r="G734" s="3">
        <v>130</v>
      </c>
      <c r="H734" s="3">
        <v>70</v>
      </c>
      <c r="I734" s="4">
        <v>11960</v>
      </c>
      <c r="J734" s="4">
        <v>6440</v>
      </c>
      <c r="K734" s="4">
        <v>5520</v>
      </c>
    </row>
    <row r="735" spans="1:11">
      <c r="A735" s="2" t="s">
        <v>309</v>
      </c>
      <c r="B735" s="3" t="s">
        <v>106</v>
      </c>
      <c r="C735" s="3" t="s">
        <v>94</v>
      </c>
      <c r="D735" s="3" t="s">
        <v>112</v>
      </c>
      <c r="E735" s="3">
        <v>40</v>
      </c>
      <c r="F735" s="3">
        <v>130</v>
      </c>
      <c r="G735" s="3">
        <v>80</v>
      </c>
      <c r="H735" s="3">
        <v>45</v>
      </c>
      <c r="I735" s="4">
        <v>10400</v>
      </c>
      <c r="J735" s="4">
        <v>5850</v>
      </c>
      <c r="K735" s="4">
        <v>4550</v>
      </c>
    </row>
    <row r="736" spans="1:11">
      <c r="A736" s="2" t="s">
        <v>234</v>
      </c>
      <c r="B736" s="3" t="s">
        <v>104</v>
      </c>
      <c r="C736" s="3" t="s">
        <v>98</v>
      </c>
      <c r="D736" s="3" t="s">
        <v>110</v>
      </c>
      <c r="E736" s="3">
        <v>32</v>
      </c>
      <c r="F736" s="3">
        <v>51</v>
      </c>
      <c r="G736" s="3">
        <v>100</v>
      </c>
      <c r="H736" s="3">
        <v>55</v>
      </c>
      <c r="I736" s="4">
        <v>5100</v>
      </c>
      <c r="J736" s="4">
        <v>2805</v>
      </c>
      <c r="K736" s="4">
        <v>2295</v>
      </c>
    </row>
    <row r="737" spans="1:11">
      <c r="A737" s="2" t="s">
        <v>308</v>
      </c>
      <c r="B737" s="3" t="s">
        <v>105</v>
      </c>
      <c r="C737" s="3" t="s">
        <v>93</v>
      </c>
      <c r="D737" s="3" t="s">
        <v>112</v>
      </c>
      <c r="E737" s="3">
        <v>32</v>
      </c>
      <c r="F737" s="3">
        <v>105</v>
      </c>
      <c r="G737" s="3">
        <v>100</v>
      </c>
      <c r="H737" s="3">
        <v>55</v>
      </c>
      <c r="I737" s="4">
        <v>10500</v>
      </c>
      <c r="J737" s="4">
        <v>5775</v>
      </c>
      <c r="K737" s="4">
        <v>4725</v>
      </c>
    </row>
    <row r="738" spans="1:11">
      <c r="A738" s="2" t="s">
        <v>450</v>
      </c>
      <c r="B738" s="3" t="s">
        <v>103</v>
      </c>
      <c r="C738" s="3" t="s">
        <v>95</v>
      </c>
      <c r="D738" s="3" t="s">
        <v>112</v>
      </c>
      <c r="E738" s="3">
        <v>28</v>
      </c>
      <c r="F738" s="3">
        <v>52</v>
      </c>
      <c r="G738" s="3">
        <v>110</v>
      </c>
      <c r="H738" s="3">
        <v>60</v>
      </c>
      <c r="I738" s="4">
        <v>5720</v>
      </c>
      <c r="J738" s="4">
        <v>3120</v>
      </c>
      <c r="K738" s="4">
        <v>2600</v>
      </c>
    </row>
    <row r="739" spans="1:11">
      <c r="A739" s="2" t="s">
        <v>375</v>
      </c>
      <c r="B739" s="3" t="s">
        <v>103</v>
      </c>
      <c r="C739" s="3" t="s">
        <v>94</v>
      </c>
      <c r="D739" s="3" t="s">
        <v>111</v>
      </c>
      <c r="E739" s="3">
        <v>40</v>
      </c>
      <c r="F739" s="3">
        <v>79</v>
      </c>
      <c r="G739" s="3">
        <v>80</v>
      </c>
      <c r="H739" s="3">
        <v>45</v>
      </c>
      <c r="I739" s="4">
        <v>6320</v>
      </c>
      <c r="J739" s="4">
        <v>3555</v>
      </c>
      <c r="K739" s="4">
        <v>2765</v>
      </c>
    </row>
    <row r="740" spans="1:11">
      <c r="A740" s="2" t="s">
        <v>317</v>
      </c>
      <c r="B740" s="3" t="s">
        <v>104</v>
      </c>
      <c r="C740" s="3" t="s">
        <v>96</v>
      </c>
      <c r="D740" s="3" t="s">
        <v>111</v>
      </c>
      <c r="E740" s="3">
        <v>32</v>
      </c>
      <c r="F740" s="3">
        <v>87</v>
      </c>
      <c r="G740" s="3">
        <v>90</v>
      </c>
      <c r="H740" s="3">
        <v>50</v>
      </c>
      <c r="I740" s="4">
        <v>7830</v>
      </c>
      <c r="J740" s="4">
        <v>4350</v>
      </c>
      <c r="K740" s="4">
        <v>3480</v>
      </c>
    </row>
    <row r="741" spans="1:11">
      <c r="A741" s="2" t="s">
        <v>386</v>
      </c>
      <c r="B741" s="3" t="s">
        <v>105</v>
      </c>
      <c r="C741" s="3" t="s">
        <v>94</v>
      </c>
      <c r="D741" s="3" t="s">
        <v>111</v>
      </c>
      <c r="E741" s="3">
        <v>34</v>
      </c>
      <c r="F741" s="3">
        <v>59</v>
      </c>
      <c r="G741" s="3">
        <v>80</v>
      </c>
      <c r="H741" s="3">
        <v>45</v>
      </c>
      <c r="I741" s="4">
        <v>4720</v>
      </c>
      <c r="J741" s="4">
        <v>2655</v>
      </c>
      <c r="K741" s="4">
        <v>2065</v>
      </c>
    </row>
    <row r="742" spans="1:11">
      <c r="A742" s="2" t="s">
        <v>443</v>
      </c>
      <c r="B742" s="3" t="s">
        <v>106</v>
      </c>
      <c r="C742" s="3" t="s">
        <v>98</v>
      </c>
      <c r="D742" s="3" t="s">
        <v>110</v>
      </c>
      <c r="E742" s="3">
        <v>19</v>
      </c>
      <c r="F742" s="3">
        <v>26</v>
      </c>
      <c r="G742" s="3">
        <v>100</v>
      </c>
      <c r="H742" s="3">
        <v>55</v>
      </c>
      <c r="I742" s="4">
        <v>2600</v>
      </c>
      <c r="J742" s="4">
        <v>1430</v>
      </c>
      <c r="K742" s="4">
        <v>1170</v>
      </c>
    </row>
    <row r="743" spans="1:11">
      <c r="A743" s="2" t="s">
        <v>387</v>
      </c>
      <c r="B743" s="3" t="s">
        <v>106</v>
      </c>
      <c r="C743" s="3" t="s">
        <v>94</v>
      </c>
      <c r="D743" s="3" t="s">
        <v>110</v>
      </c>
      <c r="E743" s="3">
        <v>18</v>
      </c>
      <c r="F743" s="3">
        <v>25</v>
      </c>
      <c r="G743" s="3">
        <v>80</v>
      </c>
      <c r="H743" s="3">
        <v>45</v>
      </c>
      <c r="I743" s="4">
        <v>2000</v>
      </c>
      <c r="J743" s="4">
        <v>1125</v>
      </c>
      <c r="K743" s="4">
        <v>875</v>
      </c>
    </row>
    <row r="744" spans="1:11">
      <c r="A744" s="2" t="s">
        <v>249</v>
      </c>
      <c r="B744" s="3" t="s">
        <v>103</v>
      </c>
      <c r="C744" s="3" t="s">
        <v>93</v>
      </c>
      <c r="D744" s="3" t="s">
        <v>111</v>
      </c>
      <c r="E744" s="3">
        <v>34</v>
      </c>
      <c r="F744" s="3">
        <v>35</v>
      </c>
      <c r="G744" s="3">
        <v>100</v>
      </c>
      <c r="H744" s="3">
        <v>55</v>
      </c>
      <c r="I744" s="4">
        <v>3500</v>
      </c>
      <c r="J744" s="4">
        <v>1925</v>
      </c>
      <c r="K744" s="4">
        <v>1575</v>
      </c>
    </row>
    <row r="745" spans="1:11">
      <c r="A745" s="2" t="s">
        <v>138</v>
      </c>
      <c r="B745" s="3" t="s">
        <v>103</v>
      </c>
      <c r="C745" s="3" t="s">
        <v>93</v>
      </c>
      <c r="D745" s="3" t="s">
        <v>111</v>
      </c>
      <c r="E745" s="3">
        <v>21</v>
      </c>
      <c r="F745" s="3">
        <v>22</v>
      </c>
      <c r="G745" s="3">
        <v>100</v>
      </c>
      <c r="H745" s="3">
        <v>55</v>
      </c>
      <c r="I745" s="4">
        <v>2200</v>
      </c>
      <c r="J745" s="4">
        <v>1210</v>
      </c>
      <c r="K745" s="4">
        <v>990</v>
      </c>
    </row>
    <row r="746" spans="1:11">
      <c r="A746" s="2" t="s">
        <v>271</v>
      </c>
      <c r="B746" s="3" t="s">
        <v>103</v>
      </c>
      <c r="C746" s="3" t="s">
        <v>96</v>
      </c>
      <c r="D746" s="3" t="s">
        <v>111</v>
      </c>
      <c r="E746" s="3">
        <v>32</v>
      </c>
      <c r="F746" s="3">
        <v>101</v>
      </c>
      <c r="G746" s="3">
        <v>90</v>
      </c>
      <c r="H746" s="3">
        <v>50</v>
      </c>
      <c r="I746" s="4">
        <v>9090</v>
      </c>
      <c r="J746" s="4">
        <v>5050</v>
      </c>
      <c r="K746" s="4">
        <v>4040</v>
      </c>
    </row>
    <row r="747" spans="1:11">
      <c r="A747" s="2" t="s">
        <v>398</v>
      </c>
      <c r="B747" s="3" t="s">
        <v>104</v>
      </c>
      <c r="C747" s="3" t="s">
        <v>93</v>
      </c>
      <c r="D747" s="3" t="s">
        <v>110</v>
      </c>
      <c r="E747" s="3">
        <v>26</v>
      </c>
      <c r="F747" s="3">
        <v>41</v>
      </c>
      <c r="G747" s="3">
        <v>100</v>
      </c>
      <c r="H747" s="3">
        <v>55</v>
      </c>
      <c r="I747" s="4">
        <v>4100</v>
      </c>
      <c r="J747" s="4">
        <v>2255</v>
      </c>
      <c r="K747" s="4">
        <v>1845</v>
      </c>
    </row>
    <row r="748" spans="1:11">
      <c r="A748" s="2" t="s">
        <v>152</v>
      </c>
      <c r="B748" s="3" t="s">
        <v>103</v>
      </c>
      <c r="C748" s="3" t="s">
        <v>94</v>
      </c>
      <c r="D748" s="3" t="s">
        <v>111</v>
      </c>
      <c r="E748" s="3">
        <v>41</v>
      </c>
      <c r="F748" s="3">
        <v>118</v>
      </c>
      <c r="G748" s="3">
        <v>80</v>
      </c>
      <c r="H748" s="3">
        <v>45</v>
      </c>
      <c r="I748" s="4">
        <v>9440</v>
      </c>
      <c r="J748" s="4">
        <v>5310</v>
      </c>
      <c r="K748" s="4">
        <v>4130</v>
      </c>
    </row>
    <row r="749" spans="1:11">
      <c r="A749" s="2" t="s">
        <v>311</v>
      </c>
      <c r="B749" s="3" t="s">
        <v>103</v>
      </c>
      <c r="C749" s="3" t="s">
        <v>94</v>
      </c>
      <c r="D749" s="3" t="s">
        <v>111</v>
      </c>
      <c r="E749" s="3">
        <v>32</v>
      </c>
      <c r="F749" s="3">
        <v>59</v>
      </c>
      <c r="G749" s="3">
        <v>80</v>
      </c>
      <c r="H749" s="3">
        <v>45</v>
      </c>
      <c r="I749" s="4">
        <v>4720</v>
      </c>
      <c r="J749" s="4">
        <v>2655</v>
      </c>
      <c r="K749" s="4">
        <v>2065</v>
      </c>
    </row>
    <row r="750" spans="1:11">
      <c r="A750" s="2" t="s">
        <v>450</v>
      </c>
      <c r="B750" s="3" t="s">
        <v>103</v>
      </c>
      <c r="C750" s="3" t="s">
        <v>95</v>
      </c>
      <c r="D750" s="3" t="s">
        <v>110</v>
      </c>
      <c r="E750" s="3">
        <v>28</v>
      </c>
      <c r="F750" s="3">
        <v>66</v>
      </c>
      <c r="G750" s="3">
        <v>110</v>
      </c>
      <c r="H750" s="3">
        <v>60</v>
      </c>
      <c r="I750" s="4">
        <v>7260</v>
      </c>
      <c r="J750" s="4">
        <v>3960</v>
      </c>
      <c r="K750" s="4">
        <v>3300</v>
      </c>
    </row>
    <row r="751" spans="1:11">
      <c r="A751" s="2" t="s">
        <v>217</v>
      </c>
      <c r="B751" s="3" t="s">
        <v>104</v>
      </c>
      <c r="C751" s="3" t="s">
        <v>95</v>
      </c>
      <c r="D751" s="3" t="s">
        <v>110</v>
      </c>
      <c r="E751" s="3">
        <v>30</v>
      </c>
      <c r="F751" s="3">
        <v>50</v>
      </c>
      <c r="G751" s="3">
        <v>110</v>
      </c>
      <c r="H751" s="3">
        <v>60</v>
      </c>
      <c r="I751" s="4">
        <v>5500</v>
      </c>
      <c r="J751" s="4">
        <v>3000</v>
      </c>
      <c r="K751" s="4">
        <v>2500</v>
      </c>
    </row>
    <row r="752" spans="1:11">
      <c r="A752" s="2" t="s">
        <v>269</v>
      </c>
      <c r="B752" s="3" t="s">
        <v>104</v>
      </c>
      <c r="C752" s="3" t="s">
        <v>97</v>
      </c>
      <c r="D752" s="3" t="s">
        <v>111</v>
      </c>
      <c r="E752" s="3">
        <v>19</v>
      </c>
      <c r="F752" s="3">
        <v>45</v>
      </c>
      <c r="G752" s="3">
        <v>130</v>
      </c>
      <c r="H752" s="3">
        <v>70</v>
      </c>
      <c r="I752" s="4">
        <v>5850</v>
      </c>
      <c r="J752" s="4">
        <v>3150</v>
      </c>
      <c r="K752" s="4">
        <v>2700</v>
      </c>
    </row>
    <row r="753" spans="1:11">
      <c r="A753" s="2" t="s">
        <v>407</v>
      </c>
      <c r="B753" s="3" t="s">
        <v>103</v>
      </c>
      <c r="C753" s="3" t="s">
        <v>95</v>
      </c>
      <c r="D753" s="3" t="s">
        <v>110</v>
      </c>
      <c r="E753" s="3">
        <v>28</v>
      </c>
      <c r="F753" s="3">
        <v>74</v>
      </c>
      <c r="G753" s="3">
        <v>110</v>
      </c>
      <c r="H753" s="3">
        <v>60</v>
      </c>
      <c r="I753" s="4">
        <v>8140</v>
      </c>
      <c r="J753" s="4">
        <v>4440</v>
      </c>
      <c r="K753" s="4">
        <v>3700</v>
      </c>
    </row>
    <row r="754" spans="1:11">
      <c r="A754" s="2" t="s">
        <v>352</v>
      </c>
      <c r="B754" s="3" t="s">
        <v>105</v>
      </c>
      <c r="C754" s="3" t="s">
        <v>94</v>
      </c>
      <c r="D754" s="3" t="s">
        <v>110</v>
      </c>
      <c r="E754" s="3">
        <v>29</v>
      </c>
      <c r="F754" s="3">
        <v>51</v>
      </c>
      <c r="G754" s="3">
        <v>80</v>
      </c>
      <c r="H754" s="3">
        <v>45</v>
      </c>
      <c r="I754" s="4">
        <v>4080</v>
      </c>
      <c r="J754" s="4">
        <v>2295</v>
      </c>
      <c r="K754" s="4">
        <v>1785</v>
      </c>
    </row>
    <row r="755" spans="1:11">
      <c r="A755" s="2" t="s">
        <v>139</v>
      </c>
      <c r="B755" s="3" t="s">
        <v>104</v>
      </c>
      <c r="C755" s="3" t="s">
        <v>94</v>
      </c>
      <c r="D755" s="3" t="s">
        <v>110</v>
      </c>
      <c r="E755" s="3">
        <v>26</v>
      </c>
      <c r="F755" s="3">
        <v>56</v>
      </c>
      <c r="G755" s="3">
        <v>80</v>
      </c>
      <c r="H755" s="3">
        <v>45</v>
      </c>
      <c r="I755" s="4">
        <v>4480</v>
      </c>
      <c r="J755" s="4">
        <v>2520</v>
      </c>
      <c r="K755" s="4">
        <v>1960</v>
      </c>
    </row>
    <row r="756" spans="1:11">
      <c r="A756" s="2" t="s">
        <v>451</v>
      </c>
      <c r="B756" s="3" t="s">
        <v>106</v>
      </c>
      <c r="C756" s="3" t="s">
        <v>95</v>
      </c>
      <c r="D756" s="3" t="s">
        <v>110</v>
      </c>
      <c r="E756" s="3">
        <v>38</v>
      </c>
      <c r="F756" s="3">
        <v>197</v>
      </c>
      <c r="G756" s="3">
        <v>110</v>
      </c>
      <c r="H756" s="3">
        <v>60</v>
      </c>
      <c r="I756" s="4">
        <v>21670</v>
      </c>
      <c r="J756" s="4">
        <v>11820</v>
      </c>
      <c r="K756" s="4">
        <v>9850</v>
      </c>
    </row>
    <row r="757" spans="1:11">
      <c r="A757" s="2" t="s">
        <v>394</v>
      </c>
      <c r="B757" s="3" t="s">
        <v>103</v>
      </c>
      <c r="C757" s="3" t="s">
        <v>96</v>
      </c>
      <c r="D757" s="3" t="s">
        <v>110</v>
      </c>
      <c r="E757" s="3">
        <v>33</v>
      </c>
      <c r="F757" s="3">
        <v>93</v>
      </c>
      <c r="G757" s="3">
        <v>90</v>
      </c>
      <c r="H757" s="3">
        <v>50</v>
      </c>
      <c r="I757" s="4">
        <v>8370</v>
      </c>
      <c r="J757" s="4">
        <v>4650</v>
      </c>
      <c r="K757" s="4">
        <v>3720</v>
      </c>
    </row>
    <row r="758" spans="1:11">
      <c r="A758" s="2" t="s">
        <v>328</v>
      </c>
      <c r="B758" s="3" t="s">
        <v>103</v>
      </c>
      <c r="C758" s="3" t="s">
        <v>97</v>
      </c>
      <c r="D758" s="3" t="s">
        <v>112</v>
      </c>
      <c r="E758" s="3">
        <v>41</v>
      </c>
      <c r="F758" s="3">
        <v>196</v>
      </c>
      <c r="G758" s="3">
        <v>130</v>
      </c>
      <c r="H758" s="3">
        <v>70</v>
      </c>
      <c r="I758" s="4">
        <v>25480</v>
      </c>
      <c r="J758" s="4">
        <v>13720</v>
      </c>
      <c r="K758" s="4">
        <v>11760</v>
      </c>
    </row>
    <row r="759" spans="1:11">
      <c r="A759" s="2" t="s">
        <v>333</v>
      </c>
      <c r="B759" s="3" t="s">
        <v>104</v>
      </c>
      <c r="C759" s="3" t="s">
        <v>95</v>
      </c>
      <c r="D759" s="3" t="s">
        <v>112</v>
      </c>
      <c r="E759" s="3">
        <v>36</v>
      </c>
      <c r="F759" s="3">
        <v>132</v>
      </c>
      <c r="G759" s="3">
        <v>110</v>
      </c>
      <c r="H759" s="3">
        <v>60</v>
      </c>
      <c r="I759" s="4">
        <v>14520</v>
      </c>
      <c r="J759" s="4">
        <v>7920</v>
      </c>
      <c r="K759" s="4">
        <v>6600</v>
      </c>
    </row>
    <row r="760" spans="1:11">
      <c r="A760" s="2" t="s">
        <v>223</v>
      </c>
      <c r="B760" s="3" t="s">
        <v>104</v>
      </c>
      <c r="C760" s="3" t="s">
        <v>96</v>
      </c>
      <c r="D760" s="3" t="s">
        <v>110</v>
      </c>
      <c r="E760" s="3">
        <v>33</v>
      </c>
      <c r="F760" s="3">
        <v>89</v>
      </c>
      <c r="G760" s="3">
        <v>90</v>
      </c>
      <c r="H760" s="3">
        <v>50</v>
      </c>
      <c r="I760" s="4">
        <v>8010</v>
      </c>
      <c r="J760" s="4">
        <v>4450</v>
      </c>
      <c r="K760" s="4">
        <v>3560</v>
      </c>
    </row>
    <row r="761" spans="1:11">
      <c r="A761" s="2" t="s">
        <v>182</v>
      </c>
      <c r="B761" s="3" t="s">
        <v>105</v>
      </c>
      <c r="C761" s="3" t="s">
        <v>96</v>
      </c>
      <c r="D761" s="3" t="s">
        <v>110</v>
      </c>
      <c r="E761" s="3">
        <v>33</v>
      </c>
      <c r="F761" s="3">
        <v>60</v>
      </c>
      <c r="G761" s="3">
        <v>90</v>
      </c>
      <c r="H761" s="3">
        <v>50</v>
      </c>
      <c r="I761" s="4">
        <v>5400</v>
      </c>
      <c r="J761" s="4">
        <v>3000</v>
      </c>
      <c r="K761" s="4">
        <v>2400</v>
      </c>
    </row>
    <row r="762" spans="1:11">
      <c r="A762" s="2" t="s">
        <v>353</v>
      </c>
      <c r="B762" s="3" t="s">
        <v>103</v>
      </c>
      <c r="C762" s="3" t="s">
        <v>94</v>
      </c>
      <c r="D762" s="3" t="s">
        <v>111</v>
      </c>
      <c r="E762" s="3">
        <v>33</v>
      </c>
      <c r="F762" s="3">
        <v>160</v>
      </c>
      <c r="G762" s="3">
        <v>80</v>
      </c>
      <c r="H762" s="3">
        <v>45</v>
      </c>
      <c r="I762" s="4">
        <v>12800</v>
      </c>
      <c r="J762" s="4">
        <v>7200</v>
      </c>
      <c r="K762" s="4">
        <v>5600</v>
      </c>
    </row>
    <row r="763" spans="1:11">
      <c r="A763" s="2" t="s">
        <v>179</v>
      </c>
      <c r="B763" s="3" t="s">
        <v>104</v>
      </c>
      <c r="C763" s="3" t="s">
        <v>93</v>
      </c>
      <c r="D763" s="3" t="s">
        <v>110</v>
      </c>
      <c r="E763" s="3">
        <v>36</v>
      </c>
      <c r="F763" s="3">
        <v>96</v>
      </c>
      <c r="G763" s="3">
        <v>100</v>
      </c>
      <c r="H763" s="3">
        <v>55</v>
      </c>
      <c r="I763" s="4">
        <v>9600</v>
      </c>
      <c r="J763" s="4">
        <v>5280</v>
      </c>
      <c r="K763" s="4">
        <v>4320</v>
      </c>
    </row>
    <row r="764" spans="1:11">
      <c r="A764" s="2" t="s">
        <v>309</v>
      </c>
      <c r="B764" s="3" t="s">
        <v>105</v>
      </c>
      <c r="C764" s="3" t="s">
        <v>95</v>
      </c>
      <c r="D764" s="3" t="s">
        <v>111</v>
      </c>
      <c r="E764" s="3">
        <v>41</v>
      </c>
      <c r="F764" s="3">
        <v>68</v>
      </c>
      <c r="G764" s="3">
        <v>110</v>
      </c>
      <c r="H764" s="3">
        <v>60</v>
      </c>
      <c r="I764" s="4">
        <v>7480</v>
      </c>
      <c r="J764" s="4">
        <v>4080</v>
      </c>
      <c r="K764" s="4">
        <v>3400</v>
      </c>
    </row>
    <row r="765" spans="1:11">
      <c r="A765" s="2" t="s">
        <v>244</v>
      </c>
      <c r="B765" s="3" t="s">
        <v>106</v>
      </c>
      <c r="C765" s="3" t="s">
        <v>94</v>
      </c>
      <c r="D765" s="3" t="s">
        <v>110</v>
      </c>
      <c r="E765" s="3">
        <v>26</v>
      </c>
      <c r="F765" s="3">
        <v>96</v>
      </c>
      <c r="G765" s="3">
        <v>80</v>
      </c>
      <c r="H765" s="3">
        <v>45</v>
      </c>
      <c r="I765" s="4">
        <v>7680</v>
      </c>
      <c r="J765" s="4">
        <v>4320</v>
      </c>
      <c r="K765" s="4">
        <v>3360</v>
      </c>
    </row>
    <row r="766" spans="1:11">
      <c r="A766" s="2" t="s">
        <v>371</v>
      </c>
      <c r="B766" s="3" t="s">
        <v>105</v>
      </c>
      <c r="C766" s="3" t="s">
        <v>96</v>
      </c>
      <c r="D766" s="3" t="s">
        <v>111</v>
      </c>
      <c r="E766" s="3">
        <v>35</v>
      </c>
      <c r="F766" s="3">
        <v>79</v>
      </c>
      <c r="G766" s="3">
        <v>90</v>
      </c>
      <c r="H766" s="3">
        <v>50</v>
      </c>
      <c r="I766" s="4">
        <v>7110</v>
      </c>
      <c r="J766" s="4">
        <v>3950</v>
      </c>
      <c r="K766" s="4">
        <v>3160</v>
      </c>
    </row>
    <row r="767" spans="1:11">
      <c r="A767" s="2" t="s">
        <v>227</v>
      </c>
      <c r="B767" s="3" t="s">
        <v>103</v>
      </c>
      <c r="C767" s="3" t="s">
        <v>94</v>
      </c>
      <c r="D767" s="3" t="s">
        <v>110</v>
      </c>
      <c r="E767" s="3">
        <v>39</v>
      </c>
      <c r="F767" s="3">
        <v>91</v>
      </c>
      <c r="G767" s="3">
        <v>80</v>
      </c>
      <c r="H767" s="3">
        <v>45</v>
      </c>
      <c r="I767" s="4">
        <v>7280</v>
      </c>
      <c r="J767" s="4">
        <v>4095</v>
      </c>
      <c r="K767" s="4">
        <v>3185</v>
      </c>
    </row>
    <row r="768" spans="1:11">
      <c r="A768" s="2" t="s">
        <v>158</v>
      </c>
      <c r="B768" s="3" t="s">
        <v>105</v>
      </c>
      <c r="C768" s="3" t="s">
        <v>96</v>
      </c>
      <c r="D768" s="3" t="s">
        <v>110</v>
      </c>
      <c r="E768" s="3">
        <v>31</v>
      </c>
      <c r="F768" s="3">
        <v>66</v>
      </c>
      <c r="G768" s="3">
        <v>90</v>
      </c>
      <c r="H768" s="3">
        <v>50</v>
      </c>
      <c r="I768" s="4">
        <v>5940</v>
      </c>
      <c r="J768" s="4">
        <v>3300</v>
      </c>
      <c r="K768" s="4">
        <v>2640</v>
      </c>
    </row>
    <row r="769" spans="1:11">
      <c r="A769" s="2" t="s">
        <v>311</v>
      </c>
      <c r="B769" s="3" t="s">
        <v>103</v>
      </c>
      <c r="C769" s="3" t="s">
        <v>94</v>
      </c>
      <c r="D769" s="3" t="s">
        <v>111</v>
      </c>
      <c r="E769" s="3">
        <v>34</v>
      </c>
      <c r="F769" s="3">
        <v>56</v>
      </c>
      <c r="G769" s="3">
        <v>80</v>
      </c>
      <c r="H769" s="3">
        <v>45</v>
      </c>
      <c r="I769" s="4">
        <v>4480</v>
      </c>
      <c r="J769" s="4">
        <v>2520</v>
      </c>
      <c r="K769" s="4">
        <v>1960</v>
      </c>
    </row>
    <row r="770" spans="1:11">
      <c r="A770" s="2" t="s">
        <v>198</v>
      </c>
      <c r="B770" s="3" t="s">
        <v>104</v>
      </c>
      <c r="C770" s="3" t="s">
        <v>93</v>
      </c>
      <c r="D770" s="3" t="s">
        <v>112</v>
      </c>
      <c r="E770" s="3">
        <v>26</v>
      </c>
      <c r="F770" s="3">
        <v>49</v>
      </c>
      <c r="G770" s="3">
        <v>100</v>
      </c>
      <c r="H770" s="3">
        <v>55</v>
      </c>
      <c r="I770" s="4">
        <v>4900</v>
      </c>
      <c r="J770" s="4">
        <v>2695</v>
      </c>
      <c r="K770" s="4">
        <v>2205</v>
      </c>
    </row>
    <row r="771" spans="1:11">
      <c r="A771" s="2" t="s">
        <v>205</v>
      </c>
      <c r="B771" s="3" t="s">
        <v>105</v>
      </c>
      <c r="C771" s="3" t="s">
        <v>94</v>
      </c>
      <c r="D771" s="3" t="s">
        <v>111</v>
      </c>
      <c r="E771" s="3">
        <v>38</v>
      </c>
      <c r="F771" s="3">
        <v>69</v>
      </c>
      <c r="G771" s="3">
        <v>80</v>
      </c>
      <c r="H771" s="3">
        <v>45</v>
      </c>
      <c r="I771" s="4">
        <v>5520</v>
      </c>
      <c r="J771" s="4">
        <v>3105</v>
      </c>
      <c r="K771" s="4">
        <v>2415</v>
      </c>
    </row>
    <row r="772" spans="1:11">
      <c r="A772" s="2" t="s">
        <v>348</v>
      </c>
      <c r="B772" s="3" t="s">
        <v>105</v>
      </c>
      <c r="C772" s="3" t="s">
        <v>95</v>
      </c>
      <c r="D772" s="3" t="s">
        <v>111</v>
      </c>
      <c r="E772" s="3">
        <v>27</v>
      </c>
      <c r="F772" s="3">
        <v>56</v>
      </c>
      <c r="G772" s="3">
        <v>110</v>
      </c>
      <c r="H772" s="3">
        <v>60</v>
      </c>
      <c r="I772" s="4">
        <v>6160</v>
      </c>
      <c r="J772" s="4">
        <v>3360</v>
      </c>
      <c r="K772" s="4">
        <v>2800</v>
      </c>
    </row>
    <row r="773" spans="1:11">
      <c r="A773" s="2" t="s">
        <v>333</v>
      </c>
      <c r="B773" s="3" t="s">
        <v>104</v>
      </c>
      <c r="C773" s="3" t="s">
        <v>98</v>
      </c>
      <c r="D773" s="3" t="s">
        <v>111</v>
      </c>
      <c r="E773" s="3">
        <v>35</v>
      </c>
      <c r="F773" s="3">
        <v>150</v>
      </c>
      <c r="G773" s="3">
        <v>100</v>
      </c>
      <c r="H773" s="3">
        <v>55</v>
      </c>
      <c r="I773" s="4">
        <v>15000</v>
      </c>
      <c r="J773" s="4">
        <v>8250</v>
      </c>
      <c r="K773" s="4">
        <v>6750</v>
      </c>
    </row>
    <row r="774" spans="1:11">
      <c r="A774" s="2" t="s">
        <v>375</v>
      </c>
      <c r="B774" s="3" t="s">
        <v>104</v>
      </c>
      <c r="C774" s="3" t="s">
        <v>94</v>
      </c>
      <c r="D774" s="3" t="s">
        <v>111</v>
      </c>
      <c r="E774" s="3">
        <v>33</v>
      </c>
      <c r="F774" s="3">
        <v>150</v>
      </c>
      <c r="G774" s="3">
        <v>80</v>
      </c>
      <c r="H774" s="3">
        <v>45</v>
      </c>
      <c r="I774" s="4">
        <v>12000</v>
      </c>
      <c r="J774" s="4">
        <v>6750</v>
      </c>
      <c r="K774" s="4">
        <v>5250</v>
      </c>
    </row>
    <row r="775" spans="1:11">
      <c r="A775" s="2" t="s">
        <v>288</v>
      </c>
      <c r="B775" s="3" t="s">
        <v>106</v>
      </c>
      <c r="C775" s="3" t="s">
        <v>93</v>
      </c>
      <c r="D775" s="3" t="s">
        <v>110</v>
      </c>
      <c r="E775" s="3">
        <v>29</v>
      </c>
      <c r="F775" s="3">
        <v>99</v>
      </c>
      <c r="G775" s="3">
        <v>100</v>
      </c>
      <c r="H775" s="3">
        <v>55</v>
      </c>
      <c r="I775" s="4">
        <v>9900</v>
      </c>
      <c r="J775" s="4">
        <v>5445</v>
      </c>
      <c r="K775" s="4">
        <v>4455</v>
      </c>
    </row>
    <row r="776" spans="1:11">
      <c r="A776" s="2" t="s">
        <v>334</v>
      </c>
      <c r="B776" s="3" t="s">
        <v>104</v>
      </c>
      <c r="C776" s="3" t="s">
        <v>93</v>
      </c>
      <c r="D776" s="3" t="s">
        <v>111</v>
      </c>
      <c r="E776" s="3">
        <v>39</v>
      </c>
      <c r="F776" s="3">
        <v>149</v>
      </c>
      <c r="G776" s="3">
        <v>100</v>
      </c>
      <c r="H776" s="3">
        <v>55</v>
      </c>
      <c r="I776" s="4">
        <v>14900</v>
      </c>
      <c r="J776" s="4">
        <v>8195</v>
      </c>
      <c r="K776" s="4">
        <v>6705</v>
      </c>
    </row>
    <row r="777" spans="1:11">
      <c r="A777" s="2" t="s">
        <v>145</v>
      </c>
      <c r="B777" s="3" t="s">
        <v>106</v>
      </c>
      <c r="C777" s="3" t="s">
        <v>93</v>
      </c>
      <c r="D777" s="3" t="s">
        <v>111</v>
      </c>
      <c r="E777" s="3">
        <v>28</v>
      </c>
      <c r="F777" s="3">
        <v>67</v>
      </c>
      <c r="G777" s="3">
        <v>100</v>
      </c>
      <c r="H777" s="3">
        <v>55</v>
      </c>
      <c r="I777" s="4">
        <v>6700</v>
      </c>
      <c r="J777" s="4">
        <v>3685</v>
      </c>
      <c r="K777" s="4">
        <v>3015</v>
      </c>
    </row>
    <row r="778" spans="1:11">
      <c r="A778" s="2" t="s">
        <v>346</v>
      </c>
      <c r="B778" s="3" t="s">
        <v>103</v>
      </c>
      <c r="C778" s="3" t="s">
        <v>94</v>
      </c>
      <c r="D778" s="3" t="s">
        <v>110</v>
      </c>
      <c r="E778" s="3">
        <v>39</v>
      </c>
      <c r="F778" s="3">
        <v>198</v>
      </c>
      <c r="G778" s="3">
        <v>80</v>
      </c>
      <c r="H778" s="3">
        <v>45</v>
      </c>
      <c r="I778" s="4">
        <v>15840</v>
      </c>
      <c r="J778" s="4">
        <v>8910</v>
      </c>
      <c r="K778" s="4">
        <v>6930</v>
      </c>
    </row>
    <row r="779" spans="1:11">
      <c r="A779" s="2" t="s">
        <v>249</v>
      </c>
      <c r="B779" s="3" t="s">
        <v>103</v>
      </c>
      <c r="C779" s="3" t="s">
        <v>96</v>
      </c>
      <c r="D779" s="3" t="s">
        <v>111</v>
      </c>
      <c r="E779" s="3">
        <v>26</v>
      </c>
      <c r="F779" s="3">
        <v>45</v>
      </c>
      <c r="G779" s="3">
        <v>90</v>
      </c>
      <c r="H779" s="3">
        <v>50</v>
      </c>
      <c r="I779" s="4">
        <v>4050</v>
      </c>
      <c r="J779" s="4">
        <v>2250</v>
      </c>
      <c r="K779" s="4">
        <v>1800</v>
      </c>
    </row>
    <row r="780" spans="1:11">
      <c r="A780" s="2" t="s">
        <v>355</v>
      </c>
      <c r="B780" s="3" t="s">
        <v>103</v>
      </c>
      <c r="C780" s="3" t="s">
        <v>96</v>
      </c>
      <c r="D780" s="3" t="s">
        <v>110</v>
      </c>
      <c r="E780" s="3">
        <v>32</v>
      </c>
      <c r="F780" s="3">
        <v>93</v>
      </c>
      <c r="G780" s="3">
        <v>90</v>
      </c>
      <c r="H780" s="3">
        <v>50</v>
      </c>
      <c r="I780" s="4">
        <v>8370</v>
      </c>
      <c r="J780" s="4">
        <v>4650</v>
      </c>
      <c r="K780" s="4">
        <v>3720</v>
      </c>
    </row>
    <row r="781" spans="1:11">
      <c r="A781" s="2" t="s">
        <v>452</v>
      </c>
      <c r="B781" s="3" t="s">
        <v>104</v>
      </c>
      <c r="C781" s="3" t="s">
        <v>93</v>
      </c>
      <c r="D781" s="3" t="s">
        <v>110</v>
      </c>
      <c r="E781" s="3">
        <v>35</v>
      </c>
      <c r="F781" s="3">
        <v>76</v>
      </c>
      <c r="G781" s="3">
        <v>100</v>
      </c>
      <c r="H781" s="3">
        <v>55</v>
      </c>
      <c r="I781" s="4">
        <v>7600</v>
      </c>
      <c r="J781" s="4">
        <v>4180</v>
      </c>
      <c r="K781" s="4">
        <v>3420</v>
      </c>
    </row>
    <row r="782" spans="1:11">
      <c r="A782" s="2" t="s">
        <v>440</v>
      </c>
      <c r="B782" s="3" t="s">
        <v>105</v>
      </c>
      <c r="C782" s="3" t="s">
        <v>95</v>
      </c>
      <c r="D782" s="3" t="s">
        <v>110</v>
      </c>
      <c r="E782" s="3">
        <v>22</v>
      </c>
      <c r="F782" s="3">
        <v>42</v>
      </c>
      <c r="G782" s="3">
        <v>110</v>
      </c>
      <c r="H782" s="3">
        <v>60</v>
      </c>
      <c r="I782" s="4">
        <v>4620</v>
      </c>
      <c r="J782" s="4">
        <v>2520</v>
      </c>
      <c r="K782" s="4">
        <v>2100</v>
      </c>
    </row>
    <row r="783" spans="1:11">
      <c r="A783" s="2" t="s">
        <v>449</v>
      </c>
      <c r="B783" s="3" t="s">
        <v>104</v>
      </c>
      <c r="C783" s="3" t="s">
        <v>93</v>
      </c>
      <c r="D783" s="3" t="s">
        <v>110</v>
      </c>
      <c r="E783" s="3">
        <v>32</v>
      </c>
      <c r="F783" s="3">
        <v>91</v>
      </c>
      <c r="G783" s="3">
        <v>100</v>
      </c>
      <c r="H783" s="3">
        <v>55</v>
      </c>
      <c r="I783" s="4">
        <v>9100</v>
      </c>
      <c r="J783" s="4">
        <v>5005</v>
      </c>
      <c r="K783" s="4">
        <v>4095</v>
      </c>
    </row>
    <row r="784" spans="1:11">
      <c r="A784" s="2" t="s">
        <v>223</v>
      </c>
      <c r="B784" s="3" t="s">
        <v>106</v>
      </c>
      <c r="C784" s="3" t="s">
        <v>98</v>
      </c>
      <c r="D784" s="3" t="s">
        <v>111</v>
      </c>
      <c r="E784" s="3">
        <v>31</v>
      </c>
      <c r="F784" s="3">
        <v>102</v>
      </c>
      <c r="G784" s="3">
        <v>100</v>
      </c>
      <c r="H784" s="3">
        <v>55</v>
      </c>
      <c r="I784" s="4">
        <v>10200</v>
      </c>
      <c r="J784" s="4">
        <v>5610</v>
      </c>
      <c r="K784" s="4">
        <v>4590</v>
      </c>
    </row>
    <row r="785" spans="1:11">
      <c r="A785" s="2" t="s">
        <v>179</v>
      </c>
      <c r="B785" s="3" t="s">
        <v>105</v>
      </c>
      <c r="C785" s="3" t="s">
        <v>93</v>
      </c>
      <c r="D785" s="3" t="s">
        <v>110</v>
      </c>
      <c r="E785" s="3">
        <v>39</v>
      </c>
      <c r="F785" s="3">
        <v>138</v>
      </c>
      <c r="G785" s="3">
        <v>100</v>
      </c>
      <c r="H785" s="3">
        <v>55</v>
      </c>
      <c r="I785" s="4">
        <v>13800</v>
      </c>
      <c r="J785" s="4">
        <v>7590</v>
      </c>
      <c r="K785" s="4">
        <v>6210</v>
      </c>
    </row>
    <row r="786" spans="1:11">
      <c r="A786" s="2" t="s">
        <v>428</v>
      </c>
      <c r="B786" s="3" t="s">
        <v>103</v>
      </c>
      <c r="C786" s="3" t="s">
        <v>93</v>
      </c>
      <c r="D786" s="3" t="s">
        <v>110</v>
      </c>
      <c r="E786" s="3">
        <v>31</v>
      </c>
      <c r="F786" s="3">
        <v>68</v>
      </c>
      <c r="G786" s="3">
        <v>100</v>
      </c>
      <c r="H786" s="3">
        <v>55</v>
      </c>
      <c r="I786" s="4">
        <v>6800</v>
      </c>
      <c r="J786" s="4">
        <v>3740</v>
      </c>
      <c r="K786" s="4">
        <v>3060</v>
      </c>
    </row>
    <row r="787" spans="1:11">
      <c r="A787" s="2" t="s">
        <v>285</v>
      </c>
      <c r="B787" s="3" t="s">
        <v>103</v>
      </c>
      <c r="C787" s="3" t="s">
        <v>93</v>
      </c>
      <c r="D787" s="3" t="s">
        <v>110</v>
      </c>
      <c r="E787" s="3">
        <v>20</v>
      </c>
      <c r="F787" s="3">
        <v>29</v>
      </c>
      <c r="G787" s="3">
        <v>100</v>
      </c>
      <c r="H787" s="3">
        <v>55</v>
      </c>
      <c r="I787" s="4">
        <v>2900</v>
      </c>
      <c r="J787" s="4">
        <v>1595</v>
      </c>
      <c r="K787" s="4">
        <v>1305</v>
      </c>
    </row>
    <row r="788" spans="1:11">
      <c r="A788" s="2" t="s">
        <v>393</v>
      </c>
      <c r="B788" s="3" t="s">
        <v>104</v>
      </c>
      <c r="C788" s="3" t="s">
        <v>93</v>
      </c>
      <c r="D788" s="3" t="s">
        <v>110</v>
      </c>
      <c r="E788" s="3">
        <v>29</v>
      </c>
      <c r="F788" s="3">
        <v>95</v>
      </c>
      <c r="G788" s="3">
        <v>100</v>
      </c>
      <c r="H788" s="3">
        <v>55</v>
      </c>
      <c r="I788" s="4">
        <v>9500</v>
      </c>
      <c r="J788" s="4">
        <v>5225</v>
      </c>
      <c r="K788" s="4">
        <v>4275</v>
      </c>
    </row>
    <row r="789" spans="1:11">
      <c r="A789" s="2" t="s">
        <v>330</v>
      </c>
      <c r="B789" s="3" t="s">
        <v>105</v>
      </c>
      <c r="C789" s="3" t="s">
        <v>96</v>
      </c>
      <c r="D789" s="3" t="s">
        <v>110</v>
      </c>
      <c r="E789" s="3">
        <v>22</v>
      </c>
      <c r="F789" s="3">
        <v>44</v>
      </c>
      <c r="G789" s="3">
        <v>90</v>
      </c>
      <c r="H789" s="3">
        <v>50</v>
      </c>
      <c r="I789" s="4">
        <v>3960</v>
      </c>
      <c r="J789" s="4">
        <v>2200</v>
      </c>
      <c r="K789" s="4">
        <v>1760</v>
      </c>
    </row>
    <row r="790" spans="1:11">
      <c r="A790" s="2" t="s">
        <v>138</v>
      </c>
      <c r="B790" s="3" t="s">
        <v>105</v>
      </c>
      <c r="C790" s="3" t="s">
        <v>95</v>
      </c>
      <c r="D790" s="3" t="s">
        <v>111</v>
      </c>
      <c r="E790" s="3">
        <v>20</v>
      </c>
      <c r="F790" s="3">
        <v>13</v>
      </c>
      <c r="G790" s="3">
        <v>110</v>
      </c>
      <c r="H790" s="3">
        <v>60</v>
      </c>
      <c r="I790" s="4">
        <v>1430</v>
      </c>
      <c r="J790" s="4">
        <v>780</v>
      </c>
      <c r="K790" s="4">
        <v>650</v>
      </c>
    </row>
    <row r="791" spans="1:11">
      <c r="A791" s="2" t="s">
        <v>384</v>
      </c>
      <c r="B791" s="3" t="s">
        <v>105</v>
      </c>
      <c r="C791" s="3" t="s">
        <v>95</v>
      </c>
      <c r="D791" s="3" t="s">
        <v>110</v>
      </c>
      <c r="E791" s="3">
        <v>34</v>
      </c>
      <c r="F791" s="3">
        <v>89</v>
      </c>
      <c r="G791" s="3">
        <v>110</v>
      </c>
      <c r="H791" s="3">
        <v>60</v>
      </c>
      <c r="I791" s="4">
        <v>9790</v>
      </c>
      <c r="J791" s="4">
        <v>5340</v>
      </c>
      <c r="K791" s="4">
        <v>4450</v>
      </c>
    </row>
    <row r="792" spans="1:11">
      <c r="A792" s="2" t="s">
        <v>194</v>
      </c>
      <c r="B792" s="3" t="s">
        <v>104</v>
      </c>
      <c r="C792" s="3" t="s">
        <v>93</v>
      </c>
      <c r="D792" s="3" t="s">
        <v>111</v>
      </c>
      <c r="E792" s="3">
        <v>34</v>
      </c>
      <c r="F792" s="3">
        <v>92</v>
      </c>
      <c r="G792" s="3">
        <v>100</v>
      </c>
      <c r="H792" s="3">
        <v>55</v>
      </c>
      <c r="I792" s="4">
        <v>9200</v>
      </c>
      <c r="J792" s="4">
        <v>5060</v>
      </c>
      <c r="K792" s="4">
        <v>4140</v>
      </c>
    </row>
    <row r="793" spans="1:11">
      <c r="A793" s="2" t="s">
        <v>276</v>
      </c>
      <c r="B793" s="3" t="s">
        <v>103</v>
      </c>
      <c r="C793" s="3" t="s">
        <v>97</v>
      </c>
      <c r="D793" s="3" t="s">
        <v>110</v>
      </c>
      <c r="E793" s="3">
        <v>34</v>
      </c>
      <c r="F793" s="3">
        <v>72</v>
      </c>
      <c r="G793" s="3">
        <v>130</v>
      </c>
      <c r="H793" s="3">
        <v>70</v>
      </c>
      <c r="I793" s="4">
        <v>9360</v>
      </c>
      <c r="J793" s="4">
        <v>5040</v>
      </c>
      <c r="K793" s="4">
        <v>4320</v>
      </c>
    </row>
    <row r="794" spans="1:11">
      <c r="A794" s="2" t="s">
        <v>367</v>
      </c>
      <c r="B794" s="3" t="s">
        <v>106</v>
      </c>
      <c r="C794" s="3" t="s">
        <v>95</v>
      </c>
      <c r="D794" s="3" t="s">
        <v>112</v>
      </c>
      <c r="E794" s="3">
        <v>24</v>
      </c>
      <c r="F794" s="3">
        <v>24</v>
      </c>
      <c r="G794" s="3">
        <v>110</v>
      </c>
      <c r="H794" s="3">
        <v>60</v>
      </c>
      <c r="I794" s="4">
        <v>2640</v>
      </c>
      <c r="J794" s="4">
        <v>1440</v>
      </c>
      <c r="K794" s="4">
        <v>1200</v>
      </c>
    </row>
    <row r="795" spans="1:11">
      <c r="A795" s="2" t="s">
        <v>308</v>
      </c>
      <c r="B795" s="3" t="s">
        <v>106</v>
      </c>
      <c r="C795" s="3" t="s">
        <v>96</v>
      </c>
      <c r="D795" s="3" t="s">
        <v>110</v>
      </c>
      <c r="E795" s="3">
        <v>28</v>
      </c>
      <c r="F795" s="3">
        <v>72</v>
      </c>
      <c r="G795" s="3">
        <v>90</v>
      </c>
      <c r="H795" s="3">
        <v>50</v>
      </c>
      <c r="I795" s="4">
        <v>6480</v>
      </c>
      <c r="J795" s="4">
        <v>3600</v>
      </c>
      <c r="K795" s="4">
        <v>2880</v>
      </c>
    </row>
    <row r="796" spans="1:11">
      <c r="A796" s="2" t="s">
        <v>341</v>
      </c>
      <c r="B796" s="3" t="s">
        <v>103</v>
      </c>
      <c r="C796" s="3" t="s">
        <v>95</v>
      </c>
      <c r="D796" s="3" t="s">
        <v>112</v>
      </c>
      <c r="E796" s="3">
        <v>29</v>
      </c>
      <c r="F796" s="3">
        <v>101</v>
      </c>
      <c r="G796" s="3">
        <v>110</v>
      </c>
      <c r="H796" s="3">
        <v>60</v>
      </c>
      <c r="I796" s="4">
        <v>11110</v>
      </c>
      <c r="J796" s="4">
        <v>6060</v>
      </c>
      <c r="K796" s="4">
        <v>5050</v>
      </c>
    </row>
    <row r="797" spans="1:11">
      <c r="A797" s="2" t="s">
        <v>263</v>
      </c>
      <c r="B797" s="3" t="s">
        <v>104</v>
      </c>
      <c r="C797" s="3" t="s">
        <v>96</v>
      </c>
      <c r="D797" s="3" t="s">
        <v>110</v>
      </c>
      <c r="E797" s="3">
        <v>31</v>
      </c>
      <c r="F797" s="3">
        <v>55</v>
      </c>
      <c r="G797" s="3">
        <v>90</v>
      </c>
      <c r="H797" s="3">
        <v>50</v>
      </c>
      <c r="I797" s="4">
        <v>4950</v>
      </c>
      <c r="J797" s="4">
        <v>2750</v>
      </c>
      <c r="K797" s="4">
        <v>2200</v>
      </c>
    </row>
    <row r="798" spans="1:11">
      <c r="A798" s="2" t="s">
        <v>260</v>
      </c>
      <c r="B798" s="3" t="s">
        <v>106</v>
      </c>
      <c r="C798" s="3" t="s">
        <v>93</v>
      </c>
      <c r="D798" s="3" t="s">
        <v>111</v>
      </c>
      <c r="E798" s="3">
        <v>26</v>
      </c>
      <c r="F798" s="3">
        <v>33</v>
      </c>
      <c r="G798" s="3">
        <v>100</v>
      </c>
      <c r="H798" s="3">
        <v>55</v>
      </c>
      <c r="I798" s="4">
        <v>3300</v>
      </c>
      <c r="J798" s="4">
        <v>1815</v>
      </c>
      <c r="K798" s="4">
        <v>1485</v>
      </c>
    </row>
    <row r="799" spans="1:11">
      <c r="A799" s="2" t="s">
        <v>293</v>
      </c>
      <c r="B799" s="3" t="s">
        <v>105</v>
      </c>
      <c r="C799" s="3" t="s">
        <v>95</v>
      </c>
      <c r="D799" s="3" t="s">
        <v>110</v>
      </c>
      <c r="E799" s="3">
        <v>26</v>
      </c>
      <c r="F799" s="3">
        <v>33</v>
      </c>
      <c r="G799" s="3">
        <v>110</v>
      </c>
      <c r="H799" s="3">
        <v>60</v>
      </c>
      <c r="I799" s="4">
        <v>3630</v>
      </c>
      <c r="J799" s="4">
        <v>1980</v>
      </c>
      <c r="K799" s="4">
        <v>1650</v>
      </c>
    </row>
    <row r="800" spans="1:11">
      <c r="A800" s="2" t="s">
        <v>235</v>
      </c>
      <c r="B800" s="3" t="s">
        <v>104</v>
      </c>
      <c r="C800" s="3" t="s">
        <v>93</v>
      </c>
      <c r="D800" s="3" t="s">
        <v>112</v>
      </c>
      <c r="E800" s="3">
        <v>24</v>
      </c>
      <c r="F800" s="3">
        <v>32</v>
      </c>
      <c r="G800" s="3">
        <v>100</v>
      </c>
      <c r="H800" s="3">
        <v>55</v>
      </c>
      <c r="I800" s="4">
        <v>3200</v>
      </c>
      <c r="J800" s="4">
        <v>1760</v>
      </c>
      <c r="K800" s="4">
        <v>1440</v>
      </c>
    </row>
    <row r="801" spans="1:11">
      <c r="A801" s="2" t="s">
        <v>358</v>
      </c>
      <c r="B801" s="3" t="s">
        <v>103</v>
      </c>
      <c r="C801" s="3" t="s">
        <v>96</v>
      </c>
      <c r="D801" s="3" t="s">
        <v>111</v>
      </c>
      <c r="E801" s="3">
        <v>20</v>
      </c>
      <c r="F801" s="3">
        <v>38</v>
      </c>
      <c r="G801" s="3">
        <v>90</v>
      </c>
      <c r="H801" s="3">
        <v>50</v>
      </c>
      <c r="I801" s="4">
        <v>3420</v>
      </c>
      <c r="J801" s="4">
        <v>1900</v>
      </c>
      <c r="K801" s="4">
        <v>1520</v>
      </c>
    </row>
    <row r="802" spans="1:11">
      <c r="A802" s="2" t="s">
        <v>391</v>
      </c>
      <c r="B802" s="3" t="s">
        <v>103</v>
      </c>
      <c r="C802" s="3" t="s">
        <v>96</v>
      </c>
      <c r="D802" s="3" t="s">
        <v>111</v>
      </c>
      <c r="E802" s="3">
        <v>20</v>
      </c>
      <c r="F802" s="3">
        <v>26</v>
      </c>
      <c r="G802" s="3">
        <v>90</v>
      </c>
      <c r="H802" s="3">
        <v>50</v>
      </c>
      <c r="I802" s="4">
        <v>2340</v>
      </c>
      <c r="J802" s="4">
        <v>1300</v>
      </c>
      <c r="K802" s="4">
        <v>1040</v>
      </c>
    </row>
    <row r="803" spans="1:11">
      <c r="A803" s="2" t="s">
        <v>311</v>
      </c>
      <c r="B803" s="3" t="s">
        <v>106</v>
      </c>
      <c r="C803" s="3" t="s">
        <v>94</v>
      </c>
      <c r="D803" s="3" t="s">
        <v>112</v>
      </c>
      <c r="E803" s="3">
        <v>31</v>
      </c>
      <c r="F803" s="3">
        <v>80</v>
      </c>
      <c r="G803" s="3">
        <v>80</v>
      </c>
      <c r="H803" s="3">
        <v>45</v>
      </c>
      <c r="I803" s="4">
        <v>6400</v>
      </c>
      <c r="J803" s="4">
        <v>3600</v>
      </c>
      <c r="K803" s="4">
        <v>2800</v>
      </c>
    </row>
    <row r="804" spans="1:11">
      <c r="A804" s="2" t="s">
        <v>309</v>
      </c>
      <c r="B804" s="3" t="s">
        <v>105</v>
      </c>
      <c r="C804" s="3" t="s">
        <v>96</v>
      </c>
      <c r="D804" s="3" t="s">
        <v>110</v>
      </c>
      <c r="E804" s="3">
        <v>38</v>
      </c>
      <c r="F804" s="3">
        <v>113</v>
      </c>
      <c r="G804" s="3">
        <v>90</v>
      </c>
      <c r="H804" s="3">
        <v>50</v>
      </c>
      <c r="I804" s="4">
        <v>10170</v>
      </c>
      <c r="J804" s="4">
        <v>5650</v>
      </c>
      <c r="K804" s="4">
        <v>4520</v>
      </c>
    </row>
    <row r="805" spans="1:11">
      <c r="A805" s="2" t="s">
        <v>145</v>
      </c>
      <c r="B805" s="3" t="s">
        <v>105</v>
      </c>
      <c r="C805" s="3" t="s">
        <v>97</v>
      </c>
      <c r="D805" s="3" t="s">
        <v>112</v>
      </c>
      <c r="E805" s="3">
        <v>34</v>
      </c>
      <c r="F805" s="3">
        <v>70</v>
      </c>
      <c r="G805" s="3">
        <v>130</v>
      </c>
      <c r="H805" s="3">
        <v>70</v>
      </c>
      <c r="I805" s="4">
        <v>9100</v>
      </c>
      <c r="J805" s="4">
        <v>4900</v>
      </c>
      <c r="K805" s="4">
        <v>4200</v>
      </c>
    </row>
    <row r="806" spans="1:11">
      <c r="A806" s="2" t="s">
        <v>453</v>
      </c>
      <c r="B806" s="3" t="s">
        <v>103</v>
      </c>
      <c r="C806" s="3" t="s">
        <v>93</v>
      </c>
      <c r="D806" s="3" t="s">
        <v>110</v>
      </c>
      <c r="E806" s="3">
        <v>21</v>
      </c>
      <c r="F806" s="3">
        <v>43</v>
      </c>
      <c r="G806" s="3">
        <v>100</v>
      </c>
      <c r="H806" s="3">
        <v>55</v>
      </c>
      <c r="I806" s="4">
        <v>4300</v>
      </c>
      <c r="J806" s="4">
        <v>2365</v>
      </c>
      <c r="K806" s="4">
        <v>1935</v>
      </c>
    </row>
    <row r="807" spans="1:11">
      <c r="A807" s="2" t="s">
        <v>414</v>
      </c>
      <c r="B807" s="3" t="s">
        <v>103</v>
      </c>
      <c r="C807" s="3" t="s">
        <v>94</v>
      </c>
      <c r="D807" s="3" t="s">
        <v>111</v>
      </c>
      <c r="E807" s="3">
        <v>39</v>
      </c>
      <c r="F807" s="3">
        <v>84</v>
      </c>
      <c r="G807" s="3">
        <v>80</v>
      </c>
      <c r="H807" s="3">
        <v>45</v>
      </c>
      <c r="I807" s="4">
        <v>6720</v>
      </c>
      <c r="J807" s="4">
        <v>3780</v>
      </c>
      <c r="K807" s="4">
        <v>2940</v>
      </c>
    </row>
    <row r="808" spans="1:11">
      <c r="A808" s="2" t="s">
        <v>200</v>
      </c>
      <c r="B808" s="3" t="s">
        <v>103</v>
      </c>
      <c r="C808" s="3" t="s">
        <v>93</v>
      </c>
      <c r="D808" s="3" t="s">
        <v>111</v>
      </c>
      <c r="E808" s="3">
        <v>34</v>
      </c>
      <c r="F808" s="3">
        <v>72</v>
      </c>
      <c r="G808" s="3">
        <v>100</v>
      </c>
      <c r="H808" s="3">
        <v>55</v>
      </c>
      <c r="I808" s="4">
        <v>7200</v>
      </c>
      <c r="J808" s="4">
        <v>3960</v>
      </c>
      <c r="K808" s="4">
        <v>3240</v>
      </c>
    </row>
    <row r="809" spans="1:11">
      <c r="A809" s="2" t="s">
        <v>268</v>
      </c>
      <c r="B809" s="3" t="s">
        <v>106</v>
      </c>
      <c r="C809" s="3" t="s">
        <v>94</v>
      </c>
      <c r="D809" s="3" t="s">
        <v>111</v>
      </c>
      <c r="E809" s="3">
        <v>35</v>
      </c>
      <c r="F809" s="3">
        <v>80</v>
      </c>
      <c r="G809" s="3">
        <v>80</v>
      </c>
      <c r="H809" s="3">
        <v>45</v>
      </c>
      <c r="I809" s="4">
        <v>6400</v>
      </c>
      <c r="J809" s="4">
        <v>3600</v>
      </c>
      <c r="K809" s="4">
        <v>2800</v>
      </c>
    </row>
    <row r="810" spans="1:11">
      <c r="A810" s="2" t="s">
        <v>374</v>
      </c>
      <c r="B810" s="3" t="s">
        <v>103</v>
      </c>
      <c r="C810" s="3" t="s">
        <v>96</v>
      </c>
      <c r="D810" s="3" t="s">
        <v>110</v>
      </c>
      <c r="E810" s="3">
        <v>21</v>
      </c>
      <c r="F810" s="3">
        <v>50</v>
      </c>
      <c r="G810" s="3">
        <v>90</v>
      </c>
      <c r="H810" s="3">
        <v>50</v>
      </c>
      <c r="I810" s="4">
        <v>4500</v>
      </c>
      <c r="J810" s="4">
        <v>2500</v>
      </c>
      <c r="K810" s="4">
        <v>2000</v>
      </c>
    </row>
    <row r="811" spans="1:11">
      <c r="A811" s="2" t="s">
        <v>454</v>
      </c>
      <c r="B811" s="3" t="s">
        <v>104</v>
      </c>
      <c r="C811" s="3" t="s">
        <v>94</v>
      </c>
      <c r="D811" s="3" t="s">
        <v>111</v>
      </c>
      <c r="E811" s="3">
        <v>21</v>
      </c>
      <c r="F811" s="3">
        <v>39</v>
      </c>
      <c r="G811" s="3">
        <v>80</v>
      </c>
      <c r="H811" s="3">
        <v>45</v>
      </c>
      <c r="I811" s="4">
        <v>3120</v>
      </c>
      <c r="J811" s="4">
        <v>1755</v>
      </c>
      <c r="K811" s="4">
        <v>1365</v>
      </c>
    </row>
    <row r="812" spans="1:11">
      <c r="A812" s="2" t="s">
        <v>455</v>
      </c>
      <c r="B812" s="3" t="s">
        <v>103</v>
      </c>
      <c r="C812" s="3" t="s">
        <v>93</v>
      </c>
      <c r="D812" s="3" t="s">
        <v>111</v>
      </c>
      <c r="E812" s="3">
        <v>24</v>
      </c>
      <c r="F812" s="3">
        <v>35</v>
      </c>
      <c r="G812" s="3">
        <v>100</v>
      </c>
      <c r="H812" s="3">
        <v>55</v>
      </c>
      <c r="I812" s="4">
        <v>3500</v>
      </c>
      <c r="J812" s="4">
        <v>1925</v>
      </c>
      <c r="K812" s="4">
        <v>1575</v>
      </c>
    </row>
    <row r="813" spans="1:11">
      <c r="A813" s="2" t="s">
        <v>216</v>
      </c>
      <c r="B813" s="3" t="s">
        <v>105</v>
      </c>
      <c r="C813" s="3" t="s">
        <v>94</v>
      </c>
      <c r="D813" s="3" t="s">
        <v>110</v>
      </c>
      <c r="E813" s="3">
        <v>34</v>
      </c>
      <c r="F813" s="3">
        <v>135</v>
      </c>
      <c r="G813" s="3">
        <v>80</v>
      </c>
      <c r="H813" s="3">
        <v>45</v>
      </c>
      <c r="I813" s="4">
        <v>10800</v>
      </c>
      <c r="J813" s="4">
        <v>6075</v>
      </c>
      <c r="K813" s="4">
        <v>4725</v>
      </c>
    </row>
    <row r="814" spans="1:11">
      <c r="A814" s="2" t="s">
        <v>150</v>
      </c>
      <c r="B814" s="3" t="s">
        <v>106</v>
      </c>
      <c r="C814" s="3" t="s">
        <v>93</v>
      </c>
      <c r="D814" s="3" t="s">
        <v>110</v>
      </c>
      <c r="E814" s="3">
        <v>41</v>
      </c>
      <c r="F814" s="3">
        <v>82</v>
      </c>
      <c r="G814" s="3">
        <v>100</v>
      </c>
      <c r="H814" s="3">
        <v>55</v>
      </c>
      <c r="I814" s="4">
        <v>8200</v>
      </c>
      <c r="J814" s="4">
        <v>4510</v>
      </c>
      <c r="K814" s="4">
        <v>3690</v>
      </c>
    </row>
    <row r="815" spans="1:11">
      <c r="A815" s="2" t="s">
        <v>238</v>
      </c>
      <c r="B815" s="3" t="s">
        <v>105</v>
      </c>
      <c r="C815" s="3" t="s">
        <v>95</v>
      </c>
      <c r="D815" s="3" t="s">
        <v>110</v>
      </c>
      <c r="E815" s="3">
        <v>32</v>
      </c>
      <c r="F815" s="3">
        <v>50</v>
      </c>
      <c r="G815" s="3">
        <v>110</v>
      </c>
      <c r="H815" s="3">
        <v>60</v>
      </c>
      <c r="I815" s="4">
        <v>5500</v>
      </c>
      <c r="J815" s="4">
        <v>3000</v>
      </c>
      <c r="K815" s="4">
        <v>2500</v>
      </c>
    </row>
    <row r="816" spans="1:11">
      <c r="A816" s="2" t="s">
        <v>456</v>
      </c>
      <c r="B816" s="3" t="s">
        <v>103</v>
      </c>
      <c r="C816" s="3" t="s">
        <v>93</v>
      </c>
      <c r="D816" s="3" t="s">
        <v>110</v>
      </c>
      <c r="E816" s="3">
        <v>22</v>
      </c>
      <c r="F816" s="3">
        <v>48</v>
      </c>
      <c r="G816" s="3">
        <v>100</v>
      </c>
      <c r="H816" s="3">
        <v>55</v>
      </c>
      <c r="I816" s="4">
        <v>4800</v>
      </c>
      <c r="J816" s="4">
        <v>2640</v>
      </c>
      <c r="K816" s="4">
        <v>2160</v>
      </c>
    </row>
    <row r="817" spans="1:11">
      <c r="A817" s="2" t="s">
        <v>457</v>
      </c>
      <c r="B817" s="3" t="s">
        <v>104</v>
      </c>
      <c r="C817" s="3" t="s">
        <v>94</v>
      </c>
      <c r="D817" s="3" t="s">
        <v>112</v>
      </c>
      <c r="E817" s="3">
        <v>41</v>
      </c>
      <c r="F817" s="3">
        <v>157</v>
      </c>
      <c r="G817" s="3">
        <v>80</v>
      </c>
      <c r="H817" s="3">
        <v>45</v>
      </c>
      <c r="I817" s="4">
        <v>12560</v>
      </c>
      <c r="J817" s="4">
        <v>7065</v>
      </c>
      <c r="K817" s="4">
        <v>5495</v>
      </c>
    </row>
    <row r="818" spans="1:11">
      <c r="A818" s="2" t="s">
        <v>443</v>
      </c>
      <c r="B818" s="3" t="s">
        <v>104</v>
      </c>
      <c r="C818" s="3" t="s">
        <v>98</v>
      </c>
      <c r="D818" s="3" t="s">
        <v>110</v>
      </c>
      <c r="E818" s="3">
        <v>25</v>
      </c>
      <c r="F818" s="3">
        <v>38</v>
      </c>
      <c r="G818" s="3">
        <v>100</v>
      </c>
      <c r="H818" s="3">
        <v>55</v>
      </c>
      <c r="I818" s="4">
        <v>3800</v>
      </c>
      <c r="J818" s="4">
        <v>2090</v>
      </c>
      <c r="K818" s="4">
        <v>1710</v>
      </c>
    </row>
    <row r="819" spans="1:11">
      <c r="A819" s="2" t="s">
        <v>175</v>
      </c>
      <c r="B819" s="3" t="s">
        <v>106</v>
      </c>
      <c r="C819" s="3" t="s">
        <v>94</v>
      </c>
      <c r="D819" s="3" t="s">
        <v>110</v>
      </c>
      <c r="E819" s="3">
        <v>24</v>
      </c>
      <c r="F819" s="3">
        <v>30</v>
      </c>
      <c r="G819" s="3">
        <v>80</v>
      </c>
      <c r="H819" s="3">
        <v>45</v>
      </c>
      <c r="I819" s="4">
        <v>2400</v>
      </c>
      <c r="J819" s="4">
        <v>1350</v>
      </c>
      <c r="K819" s="4">
        <v>1050</v>
      </c>
    </row>
    <row r="820" spans="1:11">
      <c r="A820" s="2" t="s">
        <v>290</v>
      </c>
      <c r="B820" s="3" t="s">
        <v>104</v>
      </c>
      <c r="C820" s="3" t="s">
        <v>97</v>
      </c>
      <c r="D820" s="3" t="s">
        <v>111</v>
      </c>
      <c r="E820" s="3">
        <v>32</v>
      </c>
      <c r="F820" s="3">
        <v>80</v>
      </c>
      <c r="G820" s="3">
        <v>130</v>
      </c>
      <c r="H820" s="3">
        <v>70</v>
      </c>
      <c r="I820" s="4">
        <v>10400</v>
      </c>
      <c r="J820" s="4">
        <v>5600</v>
      </c>
      <c r="K820" s="4">
        <v>4800</v>
      </c>
    </row>
    <row r="821" spans="1:11">
      <c r="A821" s="2" t="s">
        <v>140</v>
      </c>
      <c r="B821" s="3" t="s">
        <v>106</v>
      </c>
      <c r="C821" s="3" t="s">
        <v>94</v>
      </c>
      <c r="D821" s="3" t="s">
        <v>111</v>
      </c>
      <c r="E821" s="3">
        <v>30</v>
      </c>
      <c r="F821" s="3">
        <v>98</v>
      </c>
      <c r="G821" s="3">
        <v>80</v>
      </c>
      <c r="H821" s="3">
        <v>45</v>
      </c>
      <c r="I821" s="4">
        <v>7840</v>
      </c>
      <c r="J821" s="4">
        <v>4410</v>
      </c>
      <c r="K821" s="4">
        <v>3430</v>
      </c>
    </row>
    <row r="822" spans="1:11">
      <c r="A822" s="2" t="s">
        <v>275</v>
      </c>
      <c r="B822" s="3" t="s">
        <v>104</v>
      </c>
      <c r="C822" s="3" t="s">
        <v>96</v>
      </c>
      <c r="D822" s="3" t="s">
        <v>111</v>
      </c>
      <c r="E822" s="3">
        <v>20</v>
      </c>
      <c r="F822" s="3">
        <v>56</v>
      </c>
      <c r="G822" s="3">
        <v>90</v>
      </c>
      <c r="H822" s="3">
        <v>50</v>
      </c>
      <c r="I822" s="4">
        <v>5040</v>
      </c>
      <c r="J822" s="4">
        <v>2800</v>
      </c>
      <c r="K822" s="4">
        <v>2240</v>
      </c>
    </row>
    <row r="823" spans="1:11">
      <c r="A823" s="2" t="s">
        <v>209</v>
      </c>
      <c r="B823" s="3" t="s">
        <v>103</v>
      </c>
      <c r="C823" s="3" t="s">
        <v>95</v>
      </c>
      <c r="D823" s="3" t="s">
        <v>111</v>
      </c>
      <c r="E823" s="3">
        <v>23</v>
      </c>
      <c r="F823" s="3">
        <v>21</v>
      </c>
      <c r="G823" s="3">
        <v>110</v>
      </c>
      <c r="H823" s="3">
        <v>60</v>
      </c>
      <c r="I823" s="4">
        <v>2310</v>
      </c>
      <c r="J823" s="4">
        <v>1260</v>
      </c>
      <c r="K823" s="4">
        <v>1050</v>
      </c>
    </row>
    <row r="824" spans="1:11">
      <c r="A824" s="2" t="s">
        <v>328</v>
      </c>
      <c r="B824" s="3" t="s">
        <v>106</v>
      </c>
      <c r="C824" s="3" t="s">
        <v>97</v>
      </c>
      <c r="D824" s="3" t="s">
        <v>110</v>
      </c>
      <c r="E824" s="3">
        <v>35</v>
      </c>
      <c r="F824" s="3">
        <v>171</v>
      </c>
      <c r="G824" s="3">
        <v>130</v>
      </c>
      <c r="H824" s="3">
        <v>70</v>
      </c>
      <c r="I824" s="4">
        <v>22230</v>
      </c>
      <c r="J824" s="4">
        <v>11970</v>
      </c>
      <c r="K824" s="4">
        <v>10260</v>
      </c>
    </row>
    <row r="825" spans="1:11">
      <c r="A825" s="2" t="s">
        <v>458</v>
      </c>
      <c r="B825" s="3" t="s">
        <v>103</v>
      </c>
      <c r="C825" s="3" t="s">
        <v>96</v>
      </c>
      <c r="D825" s="3" t="s">
        <v>110</v>
      </c>
      <c r="E825" s="3">
        <v>34</v>
      </c>
      <c r="F825" s="3">
        <v>136</v>
      </c>
      <c r="G825" s="3">
        <v>90</v>
      </c>
      <c r="H825" s="3">
        <v>50</v>
      </c>
      <c r="I825" s="4">
        <v>12240</v>
      </c>
      <c r="J825" s="4">
        <v>6800</v>
      </c>
      <c r="K825" s="4">
        <v>5440</v>
      </c>
    </row>
    <row r="826" spans="1:11">
      <c r="A826" s="2" t="s">
        <v>170</v>
      </c>
      <c r="B826" s="3" t="s">
        <v>106</v>
      </c>
      <c r="C826" s="3" t="s">
        <v>96</v>
      </c>
      <c r="D826" s="3" t="s">
        <v>110</v>
      </c>
      <c r="E826" s="3">
        <v>24</v>
      </c>
      <c r="F826" s="3">
        <v>24</v>
      </c>
      <c r="G826" s="3">
        <v>90</v>
      </c>
      <c r="H826" s="3">
        <v>50</v>
      </c>
      <c r="I826" s="4">
        <v>2160</v>
      </c>
      <c r="J826" s="4">
        <v>1200</v>
      </c>
      <c r="K826" s="4">
        <v>960</v>
      </c>
    </row>
    <row r="827" spans="1:11">
      <c r="A827" s="2" t="s">
        <v>274</v>
      </c>
      <c r="B827" s="3" t="s">
        <v>106</v>
      </c>
      <c r="C827" s="3" t="s">
        <v>98</v>
      </c>
      <c r="D827" s="3" t="s">
        <v>111</v>
      </c>
      <c r="E827" s="3">
        <v>41</v>
      </c>
      <c r="F827" s="3">
        <v>50</v>
      </c>
      <c r="G827" s="3">
        <v>100</v>
      </c>
      <c r="H827" s="3">
        <v>55</v>
      </c>
      <c r="I827" s="4">
        <v>5000</v>
      </c>
      <c r="J827" s="4">
        <v>2750</v>
      </c>
      <c r="K827" s="4">
        <v>2250</v>
      </c>
    </row>
    <row r="828" spans="1:11">
      <c r="A828" s="2" t="s">
        <v>311</v>
      </c>
      <c r="B828" s="3" t="s">
        <v>103</v>
      </c>
      <c r="C828" s="3" t="s">
        <v>98</v>
      </c>
      <c r="D828" s="3" t="s">
        <v>110</v>
      </c>
      <c r="E828" s="3">
        <v>34</v>
      </c>
      <c r="F828" s="3">
        <v>41</v>
      </c>
      <c r="G828" s="3">
        <v>100</v>
      </c>
      <c r="H828" s="3">
        <v>55</v>
      </c>
      <c r="I828" s="4">
        <v>4100</v>
      </c>
      <c r="J828" s="4">
        <v>2255</v>
      </c>
      <c r="K828" s="4">
        <v>1845</v>
      </c>
    </row>
    <row r="829" spans="1:11">
      <c r="A829" s="2" t="s">
        <v>294</v>
      </c>
      <c r="B829" s="3" t="s">
        <v>104</v>
      </c>
      <c r="C829" s="3" t="s">
        <v>94</v>
      </c>
      <c r="D829" s="3" t="s">
        <v>110</v>
      </c>
      <c r="E829" s="3">
        <v>31</v>
      </c>
      <c r="F829" s="3">
        <v>52</v>
      </c>
      <c r="G829" s="3">
        <v>80</v>
      </c>
      <c r="H829" s="3">
        <v>45</v>
      </c>
      <c r="I829" s="4">
        <v>4160</v>
      </c>
      <c r="J829" s="4">
        <v>2340</v>
      </c>
      <c r="K829" s="4">
        <v>1820</v>
      </c>
    </row>
    <row r="830" spans="1:11">
      <c r="A830" s="2" t="s">
        <v>237</v>
      </c>
      <c r="B830" s="3" t="s">
        <v>104</v>
      </c>
      <c r="C830" s="3" t="s">
        <v>94</v>
      </c>
      <c r="D830" s="3" t="s">
        <v>111</v>
      </c>
      <c r="E830" s="3">
        <v>26</v>
      </c>
      <c r="F830" s="3">
        <v>27</v>
      </c>
      <c r="G830" s="3">
        <v>80</v>
      </c>
      <c r="H830" s="3">
        <v>45</v>
      </c>
      <c r="I830" s="4">
        <v>2160</v>
      </c>
      <c r="J830" s="4">
        <v>1215</v>
      </c>
      <c r="K830" s="4">
        <v>945</v>
      </c>
    </row>
    <row r="831" spans="1:11">
      <c r="A831" s="2" t="s">
        <v>459</v>
      </c>
      <c r="B831" s="3" t="s">
        <v>104</v>
      </c>
      <c r="C831" s="3" t="s">
        <v>96</v>
      </c>
      <c r="D831" s="3" t="s">
        <v>110</v>
      </c>
      <c r="E831" s="3">
        <v>40</v>
      </c>
      <c r="F831" s="3">
        <v>117</v>
      </c>
      <c r="G831" s="3">
        <v>90</v>
      </c>
      <c r="H831" s="3">
        <v>50</v>
      </c>
      <c r="I831" s="4">
        <v>10530</v>
      </c>
      <c r="J831" s="4">
        <v>5850</v>
      </c>
      <c r="K831" s="4">
        <v>4680</v>
      </c>
    </row>
    <row r="832" spans="1:11">
      <c r="A832" s="2" t="s">
        <v>291</v>
      </c>
      <c r="B832" s="3" t="s">
        <v>104</v>
      </c>
      <c r="C832" s="3" t="s">
        <v>97</v>
      </c>
      <c r="D832" s="3" t="s">
        <v>112</v>
      </c>
      <c r="E832" s="3">
        <v>22</v>
      </c>
      <c r="F832" s="3">
        <v>48</v>
      </c>
      <c r="G832" s="3">
        <v>130</v>
      </c>
      <c r="H832" s="3">
        <v>70</v>
      </c>
      <c r="I832" s="4">
        <v>6240</v>
      </c>
      <c r="J832" s="4">
        <v>3360</v>
      </c>
      <c r="K832" s="4">
        <v>2880</v>
      </c>
    </row>
    <row r="833" spans="1:11">
      <c r="A833" s="2" t="s">
        <v>237</v>
      </c>
      <c r="B833" s="3" t="s">
        <v>105</v>
      </c>
      <c r="C833" s="3" t="s">
        <v>94</v>
      </c>
      <c r="D833" s="3" t="s">
        <v>110</v>
      </c>
      <c r="E833" s="3">
        <v>24</v>
      </c>
      <c r="F833" s="3">
        <v>19</v>
      </c>
      <c r="G833" s="3">
        <v>80</v>
      </c>
      <c r="H833" s="3">
        <v>45</v>
      </c>
      <c r="I833" s="4">
        <v>1520</v>
      </c>
      <c r="J833" s="4">
        <v>855</v>
      </c>
      <c r="K833" s="4">
        <v>665</v>
      </c>
    </row>
    <row r="834" spans="1:11">
      <c r="A834" s="2" t="s">
        <v>312</v>
      </c>
      <c r="B834" s="3" t="s">
        <v>106</v>
      </c>
      <c r="C834" s="3" t="s">
        <v>93</v>
      </c>
      <c r="D834" s="3" t="s">
        <v>110</v>
      </c>
      <c r="E834" s="3">
        <v>28</v>
      </c>
      <c r="F834" s="3">
        <v>84</v>
      </c>
      <c r="G834" s="3">
        <v>100</v>
      </c>
      <c r="H834" s="3">
        <v>55</v>
      </c>
      <c r="I834" s="4">
        <v>8400</v>
      </c>
      <c r="J834" s="4">
        <v>4620</v>
      </c>
      <c r="K834" s="4">
        <v>3780</v>
      </c>
    </row>
    <row r="835" spans="1:11">
      <c r="A835" s="2" t="s">
        <v>315</v>
      </c>
      <c r="B835" s="3" t="s">
        <v>105</v>
      </c>
      <c r="C835" s="3" t="s">
        <v>93</v>
      </c>
      <c r="D835" s="3" t="s">
        <v>112</v>
      </c>
      <c r="E835" s="3">
        <v>33</v>
      </c>
      <c r="F835" s="3">
        <v>74</v>
      </c>
      <c r="G835" s="3">
        <v>100</v>
      </c>
      <c r="H835" s="3">
        <v>55</v>
      </c>
      <c r="I835" s="4">
        <v>7400</v>
      </c>
      <c r="J835" s="4">
        <v>4070</v>
      </c>
      <c r="K835" s="4">
        <v>3330</v>
      </c>
    </row>
    <row r="836" spans="1:11">
      <c r="A836" s="2" t="s">
        <v>159</v>
      </c>
      <c r="B836" s="3" t="s">
        <v>105</v>
      </c>
      <c r="C836" s="3" t="s">
        <v>96</v>
      </c>
      <c r="D836" s="3" t="s">
        <v>111</v>
      </c>
      <c r="E836" s="3">
        <v>31</v>
      </c>
      <c r="F836" s="3">
        <v>85</v>
      </c>
      <c r="G836" s="3">
        <v>90</v>
      </c>
      <c r="H836" s="3">
        <v>50</v>
      </c>
      <c r="I836" s="4">
        <v>7650</v>
      </c>
      <c r="J836" s="4">
        <v>4250</v>
      </c>
      <c r="K836" s="4">
        <v>3400</v>
      </c>
    </row>
    <row r="837" spans="1:11">
      <c r="A837" s="2" t="s">
        <v>384</v>
      </c>
      <c r="B837" s="3" t="s">
        <v>105</v>
      </c>
      <c r="C837" s="3" t="s">
        <v>93</v>
      </c>
      <c r="D837" s="3" t="s">
        <v>110</v>
      </c>
      <c r="E837" s="3">
        <v>26</v>
      </c>
      <c r="F837" s="3">
        <v>88</v>
      </c>
      <c r="G837" s="3">
        <v>100</v>
      </c>
      <c r="H837" s="3">
        <v>55</v>
      </c>
      <c r="I837" s="4">
        <v>8800</v>
      </c>
      <c r="J837" s="4">
        <v>4840</v>
      </c>
      <c r="K837" s="4">
        <v>3960</v>
      </c>
    </row>
    <row r="838" spans="1:11">
      <c r="A838" s="2" t="s">
        <v>358</v>
      </c>
      <c r="B838" s="3" t="s">
        <v>106</v>
      </c>
      <c r="C838" s="3" t="s">
        <v>98</v>
      </c>
      <c r="D838" s="3" t="s">
        <v>110</v>
      </c>
      <c r="E838" s="3">
        <v>20</v>
      </c>
      <c r="F838" s="3">
        <v>35</v>
      </c>
      <c r="G838" s="3">
        <v>100</v>
      </c>
      <c r="H838" s="3">
        <v>55</v>
      </c>
      <c r="I838" s="4">
        <v>3500</v>
      </c>
      <c r="J838" s="4">
        <v>1925</v>
      </c>
      <c r="K838" s="4">
        <v>1575</v>
      </c>
    </row>
    <row r="839" spans="1:11">
      <c r="A839" s="2" t="s">
        <v>164</v>
      </c>
      <c r="B839" s="3" t="s">
        <v>104</v>
      </c>
      <c r="C839" s="3" t="s">
        <v>95</v>
      </c>
      <c r="D839" s="3" t="s">
        <v>111</v>
      </c>
      <c r="E839" s="3">
        <v>38</v>
      </c>
      <c r="F839" s="3">
        <v>175</v>
      </c>
      <c r="G839" s="3">
        <v>110</v>
      </c>
      <c r="H839" s="3">
        <v>60</v>
      </c>
      <c r="I839" s="4">
        <v>19250</v>
      </c>
      <c r="J839" s="4">
        <v>10500</v>
      </c>
      <c r="K839" s="4">
        <v>8750</v>
      </c>
    </row>
    <row r="840" spans="1:11">
      <c r="A840" s="2" t="s">
        <v>432</v>
      </c>
      <c r="B840" s="3" t="s">
        <v>105</v>
      </c>
      <c r="C840" s="3" t="s">
        <v>94</v>
      </c>
      <c r="D840" s="3" t="s">
        <v>111</v>
      </c>
      <c r="E840" s="3">
        <v>25</v>
      </c>
      <c r="F840" s="3">
        <v>54</v>
      </c>
      <c r="G840" s="3">
        <v>80</v>
      </c>
      <c r="H840" s="3">
        <v>45</v>
      </c>
      <c r="I840" s="4">
        <v>4320</v>
      </c>
      <c r="J840" s="4">
        <v>2430</v>
      </c>
      <c r="K840" s="4">
        <v>1890</v>
      </c>
    </row>
    <row r="841" spans="1:11">
      <c r="A841" s="2" t="s">
        <v>282</v>
      </c>
      <c r="B841" s="3" t="s">
        <v>104</v>
      </c>
      <c r="C841" s="3" t="s">
        <v>95</v>
      </c>
      <c r="D841" s="3" t="s">
        <v>110</v>
      </c>
      <c r="E841" s="3">
        <v>34</v>
      </c>
      <c r="F841" s="3">
        <v>54</v>
      </c>
      <c r="G841" s="3">
        <v>110</v>
      </c>
      <c r="H841" s="3">
        <v>60</v>
      </c>
      <c r="I841" s="4">
        <v>5940</v>
      </c>
      <c r="J841" s="4">
        <v>3240</v>
      </c>
      <c r="K841" s="4">
        <v>2700</v>
      </c>
    </row>
    <row r="842" spans="1:11">
      <c r="A842" s="2" t="s">
        <v>199</v>
      </c>
      <c r="B842" s="3" t="s">
        <v>103</v>
      </c>
      <c r="C842" s="3" t="s">
        <v>93</v>
      </c>
      <c r="D842" s="3" t="s">
        <v>111</v>
      </c>
      <c r="E842" s="3">
        <v>38</v>
      </c>
      <c r="F842" s="3">
        <v>156</v>
      </c>
      <c r="G842" s="3">
        <v>100</v>
      </c>
      <c r="H842" s="3">
        <v>55</v>
      </c>
      <c r="I842" s="4">
        <v>15600</v>
      </c>
      <c r="J842" s="4">
        <v>8580</v>
      </c>
      <c r="K842" s="4">
        <v>7020</v>
      </c>
    </row>
    <row r="843" spans="1:11">
      <c r="A843" s="2" t="s">
        <v>411</v>
      </c>
      <c r="B843" s="3" t="s">
        <v>104</v>
      </c>
      <c r="C843" s="3" t="s">
        <v>93</v>
      </c>
      <c r="D843" s="3" t="s">
        <v>111</v>
      </c>
      <c r="E843" s="3">
        <v>22</v>
      </c>
      <c r="F843" s="3">
        <v>42</v>
      </c>
      <c r="G843" s="3">
        <v>100</v>
      </c>
      <c r="H843" s="3">
        <v>55</v>
      </c>
      <c r="I843" s="4">
        <v>4200</v>
      </c>
      <c r="J843" s="4">
        <v>2310</v>
      </c>
      <c r="K843" s="4">
        <v>1890</v>
      </c>
    </row>
    <row r="844" spans="1:11">
      <c r="A844" s="2" t="s">
        <v>382</v>
      </c>
      <c r="B844" s="3" t="s">
        <v>103</v>
      </c>
      <c r="C844" s="3" t="s">
        <v>94</v>
      </c>
      <c r="D844" s="3" t="s">
        <v>110</v>
      </c>
      <c r="E844" s="3">
        <v>20</v>
      </c>
      <c r="F844" s="3">
        <v>33</v>
      </c>
      <c r="G844" s="3">
        <v>80</v>
      </c>
      <c r="H844" s="3">
        <v>45</v>
      </c>
      <c r="I844" s="4">
        <v>2640</v>
      </c>
      <c r="J844" s="4">
        <v>1485</v>
      </c>
      <c r="K844" s="4">
        <v>1155</v>
      </c>
    </row>
    <row r="845" spans="1:11">
      <c r="A845" s="2" t="s">
        <v>320</v>
      </c>
      <c r="B845" s="3" t="s">
        <v>104</v>
      </c>
      <c r="C845" s="3" t="s">
        <v>94</v>
      </c>
      <c r="D845" s="3" t="s">
        <v>111</v>
      </c>
      <c r="E845" s="3">
        <v>34</v>
      </c>
      <c r="F845" s="3">
        <v>35</v>
      </c>
      <c r="G845" s="3">
        <v>80</v>
      </c>
      <c r="H845" s="3">
        <v>45</v>
      </c>
      <c r="I845" s="4">
        <v>2800</v>
      </c>
      <c r="J845" s="4">
        <v>1575</v>
      </c>
      <c r="K845" s="4">
        <v>1225</v>
      </c>
    </row>
    <row r="846" spans="1:11">
      <c r="A846" s="2" t="s">
        <v>429</v>
      </c>
      <c r="B846" s="3" t="s">
        <v>105</v>
      </c>
      <c r="C846" s="3" t="s">
        <v>96</v>
      </c>
      <c r="D846" s="3" t="s">
        <v>111</v>
      </c>
      <c r="E846" s="3">
        <v>26</v>
      </c>
      <c r="F846" s="3">
        <v>74</v>
      </c>
      <c r="G846" s="3">
        <v>90</v>
      </c>
      <c r="H846" s="3">
        <v>50</v>
      </c>
      <c r="I846" s="4">
        <v>6660</v>
      </c>
      <c r="J846" s="4">
        <v>3700</v>
      </c>
      <c r="K846" s="4">
        <v>2960</v>
      </c>
    </row>
    <row r="847" spans="1:11">
      <c r="A847" s="2" t="s">
        <v>440</v>
      </c>
      <c r="B847" s="3" t="s">
        <v>106</v>
      </c>
      <c r="C847" s="3" t="s">
        <v>93</v>
      </c>
      <c r="D847" s="3" t="s">
        <v>110</v>
      </c>
      <c r="E847" s="3">
        <v>26</v>
      </c>
      <c r="F847" s="3">
        <v>37</v>
      </c>
      <c r="G847" s="3">
        <v>100</v>
      </c>
      <c r="H847" s="3">
        <v>55</v>
      </c>
      <c r="I847" s="4">
        <v>3700</v>
      </c>
      <c r="J847" s="4">
        <v>2035</v>
      </c>
      <c r="K847" s="4">
        <v>1665</v>
      </c>
    </row>
    <row r="848" spans="1:11">
      <c r="A848" s="2" t="s">
        <v>237</v>
      </c>
      <c r="B848" s="3" t="s">
        <v>104</v>
      </c>
      <c r="C848" s="3" t="s">
        <v>93</v>
      </c>
      <c r="D848" s="3" t="s">
        <v>112</v>
      </c>
      <c r="E848" s="3">
        <v>23</v>
      </c>
      <c r="F848" s="3">
        <v>47</v>
      </c>
      <c r="G848" s="3">
        <v>100</v>
      </c>
      <c r="H848" s="3">
        <v>55</v>
      </c>
      <c r="I848" s="4">
        <v>4700</v>
      </c>
      <c r="J848" s="4">
        <v>2585</v>
      </c>
      <c r="K848" s="4">
        <v>2115</v>
      </c>
    </row>
    <row r="849" spans="1:11">
      <c r="A849" s="2" t="s">
        <v>226</v>
      </c>
      <c r="B849" s="3" t="s">
        <v>106</v>
      </c>
      <c r="C849" s="3" t="s">
        <v>96</v>
      </c>
      <c r="D849" s="3" t="s">
        <v>110</v>
      </c>
      <c r="E849" s="3">
        <v>32</v>
      </c>
      <c r="F849" s="3">
        <v>148</v>
      </c>
      <c r="G849" s="3">
        <v>90</v>
      </c>
      <c r="H849" s="3">
        <v>50</v>
      </c>
      <c r="I849" s="4">
        <v>13320</v>
      </c>
      <c r="J849" s="4">
        <v>7400</v>
      </c>
      <c r="K849" s="4">
        <v>5920</v>
      </c>
    </row>
    <row r="850" spans="1:11">
      <c r="A850" s="2" t="s">
        <v>136</v>
      </c>
      <c r="B850" s="3" t="s">
        <v>105</v>
      </c>
      <c r="C850" s="3" t="s">
        <v>94</v>
      </c>
      <c r="D850" s="3" t="s">
        <v>110</v>
      </c>
      <c r="E850" s="3">
        <v>34</v>
      </c>
      <c r="F850" s="3">
        <v>137</v>
      </c>
      <c r="G850" s="3">
        <v>80</v>
      </c>
      <c r="H850" s="3">
        <v>45</v>
      </c>
      <c r="I850" s="4">
        <v>10960</v>
      </c>
      <c r="J850" s="4">
        <v>6165</v>
      </c>
      <c r="K850" s="4">
        <v>4795</v>
      </c>
    </row>
    <row r="851" spans="1:11">
      <c r="A851" s="2" t="s">
        <v>202</v>
      </c>
      <c r="B851" s="3" t="s">
        <v>103</v>
      </c>
      <c r="C851" s="3" t="s">
        <v>96</v>
      </c>
      <c r="D851" s="3" t="s">
        <v>110</v>
      </c>
      <c r="E851" s="3">
        <v>27</v>
      </c>
      <c r="F851" s="3">
        <v>45</v>
      </c>
      <c r="G851" s="3">
        <v>90</v>
      </c>
      <c r="H851" s="3">
        <v>50</v>
      </c>
      <c r="I851" s="4">
        <v>4050</v>
      </c>
      <c r="J851" s="4">
        <v>2250</v>
      </c>
      <c r="K851" s="4">
        <v>1800</v>
      </c>
    </row>
    <row r="852" spans="1:11">
      <c r="A852" s="2" t="s">
        <v>313</v>
      </c>
      <c r="B852" s="3" t="s">
        <v>104</v>
      </c>
      <c r="C852" s="3" t="s">
        <v>98</v>
      </c>
      <c r="D852" s="3" t="s">
        <v>111</v>
      </c>
      <c r="E852" s="3">
        <v>26</v>
      </c>
      <c r="F852" s="3">
        <v>102</v>
      </c>
      <c r="G852" s="3">
        <v>100</v>
      </c>
      <c r="H852" s="3">
        <v>55</v>
      </c>
      <c r="I852" s="4">
        <v>10200</v>
      </c>
      <c r="J852" s="4">
        <v>5610</v>
      </c>
      <c r="K852" s="4">
        <v>4590</v>
      </c>
    </row>
    <row r="853" spans="1:11">
      <c r="A853" s="2" t="s">
        <v>339</v>
      </c>
      <c r="B853" s="3" t="s">
        <v>103</v>
      </c>
      <c r="C853" s="3" t="s">
        <v>94</v>
      </c>
      <c r="D853" s="3" t="s">
        <v>110</v>
      </c>
      <c r="E853" s="3">
        <v>27</v>
      </c>
      <c r="F853" s="3">
        <v>84</v>
      </c>
      <c r="G853" s="3">
        <v>80</v>
      </c>
      <c r="H853" s="3">
        <v>45</v>
      </c>
      <c r="I853" s="4">
        <v>6720</v>
      </c>
      <c r="J853" s="4">
        <v>3780</v>
      </c>
      <c r="K853" s="4">
        <v>2940</v>
      </c>
    </row>
    <row r="854" spans="1:11">
      <c r="A854" s="2" t="s">
        <v>352</v>
      </c>
      <c r="B854" s="3" t="s">
        <v>104</v>
      </c>
      <c r="C854" s="3" t="s">
        <v>93</v>
      </c>
      <c r="D854" s="3" t="s">
        <v>111</v>
      </c>
      <c r="E854" s="3">
        <v>34</v>
      </c>
      <c r="F854" s="3">
        <v>99</v>
      </c>
      <c r="G854" s="3">
        <v>100</v>
      </c>
      <c r="H854" s="3">
        <v>55</v>
      </c>
      <c r="I854" s="4">
        <v>9900</v>
      </c>
      <c r="J854" s="4">
        <v>5445</v>
      </c>
      <c r="K854" s="4">
        <v>4455</v>
      </c>
    </row>
    <row r="855" spans="1:11">
      <c r="A855" s="2" t="s">
        <v>423</v>
      </c>
      <c r="B855" s="3" t="s">
        <v>105</v>
      </c>
      <c r="C855" s="3" t="s">
        <v>94</v>
      </c>
      <c r="D855" s="3" t="s">
        <v>111</v>
      </c>
      <c r="E855" s="3">
        <v>33</v>
      </c>
      <c r="F855" s="3">
        <v>47</v>
      </c>
      <c r="G855" s="3">
        <v>80</v>
      </c>
      <c r="H855" s="3">
        <v>45</v>
      </c>
      <c r="I855" s="4">
        <v>3760</v>
      </c>
      <c r="J855" s="4">
        <v>2115</v>
      </c>
      <c r="K855" s="4">
        <v>1645</v>
      </c>
    </row>
    <row r="856" spans="1:11">
      <c r="A856" s="2" t="s">
        <v>447</v>
      </c>
      <c r="B856" s="3" t="s">
        <v>105</v>
      </c>
      <c r="C856" s="3" t="s">
        <v>93</v>
      </c>
      <c r="D856" s="3" t="s">
        <v>110</v>
      </c>
      <c r="E856" s="3">
        <v>34</v>
      </c>
      <c r="F856" s="3">
        <v>69</v>
      </c>
      <c r="G856" s="3">
        <v>100</v>
      </c>
      <c r="H856" s="3">
        <v>55</v>
      </c>
      <c r="I856" s="4">
        <v>6900</v>
      </c>
      <c r="J856" s="4">
        <v>3795</v>
      </c>
      <c r="K856" s="4">
        <v>3105</v>
      </c>
    </row>
    <row r="857" spans="1:11">
      <c r="A857" s="2" t="s">
        <v>356</v>
      </c>
      <c r="B857" s="3" t="s">
        <v>106</v>
      </c>
      <c r="C857" s="3" t="s">
        <v>95</v>
      </c>
      <c r="D857" s="3" t="s">
        <v>110</v>
      </c>
      <c r="E857" s="3">
        <v>40</v>
      </c>
      <c r="F857" s="3">
        <v>148</v>
      </c>
      <c r="G857" s="3">
        <v>110</v>
      </c>
      <c r="H857" s="3">
        <v>60</v>
      </c>
      <c r="I857" s="4">
        <v>16280</v>
      </c>
      <c r="J857" s="4">
        <v>8880</v>
      </c>
      <c r="K857" s="4">
        <v>7400</v>
      </c>
    </row>
    <row r="858" spans="1:11">
      <c r="A858" s="2" t="s">
        <v>385</v>
      </c>
      <c r="B858" s="3" t="s">
        <v>105</v>
      </c>
      <c r="C858" s="3" t="s">
        <v>95</v>
      </c>
      <c r="D858" s="3" t="s">
        <v>111</v>
      </c>
      <c r="E858" s="3">
        <v>19</v>
      </c>
      <c r="F858" s="3">
        <v>56</v>
      </c>
      <c r="G858" s="3">
        <v>110</v>
      </c>
      <c r="H858" s="3">
        <v>60</v>
      </c>
      <c r="I858" s="4">
        <v>6160</v>
      </c>
      <c r="J858" s="4">
        <v>3360</v>
      </c>
      <c r="K858" s="4">
        <v>2800</v>
      </c>
    </row>
    <row r="859" spans="1:11">
      <c r="A859" s="2" t="s">
        <v>390</v>
      </c>
      <c r="B859" s="3" t="s">
        <v>106</v>
      </c>
      <c r="C859" s="3" t="s">
        <v>97</v>
      </c>
      <c r="D859" s="3" t="s">
        <v>111</v>
      </c>
      <c r="E859" s="3">
        <v>40</v>
      </c>
      <c r="F859" s="3">
        <v>144</v>
      </c>
      <c r="G859" s="3">
        <v>130</v>
      </c>
      <c r="H859" s="3">
        <v>70</v>
      </c>
      <c r="I859" s="4">
        <v>18720</v>
      </c>
      <c r="J859" s="4">
        <v>10080</v>
      </c>
      <c r="K859" s="4">
        <v>8640</v>
      </c>
    </row>
    <row r="860" spans="1:11">
      <c r="A860" s="2" t="s">
        <v>304</v>
      </c>
      <c r="B860" s="3" t="s">
        <v>103</v>
      </c>
      <c r="C860" s="3" t="s">
        <v>96</v>
      </c>
      <c r="D860" s="3" t="s">
        <v>110</v>
      </c>
      <c r="E860" s="3">
        <v>22</v>
      </c>
      <c r="F860" s="3">
        <v>39</v>
      </c>
      <c r="G860" s="3">
        <v>90</v>
      </c>
      <c r="H860" s="3">
        <v>50</v>
      </c>
      <c r="I860" s="4">
        <v>3510</v>
      </c>
      <c r="J860" s="4">
        <v>1950</v>
      </c>
      <c r="K860" s="4">
        <v>1560</v>
      </c>
    </row>
    <row r="861" spans="1:11">
      <c r="A861" s="2" t="s">
        <v>308</v>
      </c>
      <c r="B861" s="3" t="s">
        <v>103</v>
      </c>
      <c r="C861" s="3" t="s">
        <v>94</v>
      </c>
      <c r="D861" s="3" t="s">
        <v>112</v>
      </c>
      <c r="E861" s="3">
        <v>30</v>
      </c>
      <c r="F861" s="3">
        <v>42</v>
      </c>
      <c r="G861" s="3">
        <v>80</v>
      </c>
      <c r="H861" s="3">
        <v>45</v>
      </c>
      <c r="I861" s="4">
        <v>3360</v>
      </c>
      <c r="J861" s="4">
        <v>1890</v>
      </c>
      <c r="K861" s="4">
        <v>1470</v>
      </c>
    </row>
    <row r="862" spans="1:11">
      <c r="A862" s="2" t="s">
        <v>297</v>
      </c>
      <c r="B862" s="3" t="s">
        <v>103</v>
      </c>
      <c r="C862" s="3" t="s">
        <v>97</v>
      </c>
      <c r="D862" s="3" t="s">
        <v>111</v>
      </c>
      <c r="E862" s="3">
        <v>38</v>
      </c>
      <c r="F862" s="3">
        <v>105</v>
      </c>
      <c r="G862" s="3">
        <v>130</v>
      </c>
      <c r="H862" s="3">
        <v>70</v>
      </c>
      <c r="I862" s="4">
        <v>13650</v>
      </c>
      <c r="J862" s="4">
        <v>7350</v>
      </c>
      <c r="K862" s="4">
        <v>6300</v>
      </c>
    </row>
    <row r="863" spans="1:11">
      <c r="A863" s="2" t="s">
        <v>134</v>
      </c>
      <c r="B863" s="3" t="s">
        <v>105</v>
      </c>
      <c r="C863" s="3" t="s">
        <v>97</v>
      </c>
      <c r="D863" s="3" t="s">
        <v>112</v>
      </c>
      <c r="E863" s="3">
        <v>33</v>
      </c>
      <c r="F863" s="3">
        <v>138</v>
      </c>
      <c r="G863" s="3">
        <v>130</v>
      </c>
      <c r="H863" s="3">
        <v>70</v>
      </c>
      <c r="I863" s="4">
        <v>17940</v>
      </c>
      <c r="J863" s="4">
        <v>9660</v>
      </c>
      <c r="K863" s="4">
        <v>8280</v>
      </c>
    </row>
    <row r="864" spans="1:11">
      <c r="A864" s="2" t="s">
        <v>325</v>
      </c>
      <c r="B864" s="3" t="s">
        <v>103</v>
      </c>
      <c r="C864" s="3" t="s">
        <v>93</v>
      </c>
      <c r="D864" s="3" t="s">
        <v>111</v>
      </c>
      <c r="E864" s="3">
        <v>32</v>
      </c>
      <c r="F864" s="3">
        <v>42</v>
      </c>
      <c r="G864" s="3">
        <v>100</v>
      </c>
      <c r="H864" s="3">
        <v>55</v>
      </c>
      <c r="I864" s="4">
        <v>4200</v>
      </c>
      <c r="J864" s="4">
        <v>2310</v>
      </c>
      <c r="K864" s="4">
        <v>1890</v>
      </c>
    </row>
    <row r="865" spans="1:11">
      <c r="A865" s="2" t="s">
        <v>161</v>
      </c>
      <c r="B865" s="3" t="s">
        <v>104</v>
      </c>
      <c r="C865" s="3" t="s">
        <v>94</v>
      </c>
      <c r="D865" s="3" t="s">
        <v>110</v>
      </c>
      <c r="E865" s="3">
        <v>31</v>
      </c>
      <c r="F865" s="3">
        <v>104</v>
      </c>
      <c r="G865" s="3">
        <v>80</v>
      </c>
      <c r="H865" s="3">
        <v>45</v>
      </c>
      <c r="I865" s="4">
        <v>8320</v>
      </c>
      <c r="J865" s="4">
        <v>4680</v>
      </c>
      <c r="K865" s="4">
        <v>3640</v>
      </c>
    </row>
    <row r="866" spans="1:11">
      <c r="A866" s="2" t="s">
        <v>228</v>
      </c>
      <c r="B866" s="3" t="s">
        <v>103</v>
      </c>
      <c r="C866" s="3" t="s">
        <v>95</v>
      </c>
      <c r="D866" s="3" t="s">
        <v>110</v>
      </c>
      <c r="E866" s="3">
        <v>25</v>
      </c>
      <c r="F866" s="3">
        <v>28</v>
      </c>
      <c r="G866" s="3">
        <v>110</v>
      </c>
      <c r="H866" s="3">
        <v>60</v>
      </c>
      <c r="I866" s="4">
        <v>3080</v>
      </c>
      <c r="J866" s="4">
        <v>1680</v>
      </c>
      <c r="K866" s="4">
        <v>1400</v>
      </c>
    </row>
    <row r="867" spans="1:11">
      <c r="A867" s="2" t="s">
        <v>389</v>
      </c>
      <c r="B867" s="3" t="s">
        <v>105</v>
      </c>
      <c r="C867" s="3" t="s">
        <v>93</v>
      </c>
      <c r="D867" s="3" t="s">
        <v>112</v>
      </c>
      <c r="E867" s="3">
        <v>18</v>
      </c>
      <c r="F867" s="3">
        <v>23</v>
      </c>
      <c r="G867" s="3">
        <v>100</v>
      </c>
      <c r="H867" s="3">
        <v>55</v>
      </c>
      <c r="I867" s="4">
        <v>2300</v>
      </c>
      <c r="J867" s="4">
        <v>1265</v>
      </c>
      <c r="K867" s="4">
        <v>1035</v>
      </c>
    </row>
    <row r="868" spans="1:11">
      <c r="A868" s="2" t="s">
        <v>215</v>
      </c>
      <c r="B868" s="3" t="s">
        <v>103</v>
      </c>
      <c r="C868" s="3" t="s">
        <v>96</v>
      </c>
      <c r="D868" s="3" t="s">
        <v>111</v>
      </c>
      <c r="E868" s="3">
        <v>23</v>
      </c>
      <c r="F868" s="3">
        <v>25</v>
      </c>
      <c r="G868" s="3">
        <v>90</v>
      </c>
      <c r="H868" s="3">
        <v>50</v>
      </c>
      <c r="I868" s="4">
        <v>2250</v>
      </c>
      <c r="J868" s="4">
        <v>1250</v>
      </c>
      <c r="K868" s="4">
        <v>1000</v>
      </c>
    </row>
    <row r="869" spans="1:11">
      <c r="A869" s="2" t="s">
        <v>357</v>
      </c>
      <c r="B869" s="3" t="s">
        <v>103</v>
      </c>
      <c r="C869" s="3" t="s">
        <v>98</v>
      </c>
      <c r="D869" s="3" t="s">
        <v>111</v>
      </c>
      <c r="E869" s="3">
        <v>26</v>
      </c>
      <c r="F869" s="3">
        <v>71</v>
      </c>
      <c r="G869" s="3">
        <v>100</v>
      </c>
      <c r="H869" s="3">
        <v>55</v>
      </c>
      <c r="I869" s="4">
        <v>7100</v>
      </c>
      <c r="J869" s="4">
        <v>3905</v>
      </c>
      <c r="K869" s="4">
        <v>3195</v>
      </c>
    </row>
    <row r="870" spans="1:11">
      <c r="A870" s="2" t="s">
        <v>398</v>
      </c>
      <c r="B870" s="3" t="s">
        <v>106</v>
      </c>
      <c r="C870" s="3" t="s">
        <v>97</v>
      </c>
      <c r="D870" s="3" t="s">
        <v>111</v>
      </c>
      <c r="E870" s="3">
        <v>34</v>
      </c>
      <c r="F870" s="3">
        <v>65</v>
      </c>
      <c r="G870" s="3">
        <v>130</v>
      </c>
      <c r="H870" s="3">
        <v>70</v>
      </c>
      <c r="I870" s="4">
        <v>8450</v>
      </c>
      <c r="J870" s="4">
        <v>4550</v>
      </c>
      <c r="K870" s="4">
        <v>3900</v>
      </c>
    </row>
    <row r="871" spans="1:11">
      <c r="A871" s="2" t="s">
        <v>178</v>
      </c>
      <c r="B871" s="3" t="s">
        <v>106</v>
      </c>
      <c r="C871" s="3" t="s">
        <v>95</v>
      </c>
      <c r="D871" s="3" t="s">
        <v>111</v>
      </c>
      <c r="E871" s="3">
        <v>24</v>
      </c>
      <c r="F871" s="3">
        <v>34</v>
      </c>
      <c r="G871" s="3">
        <v>110</v>
      </c>
      <c r="H871" s="3">
        <v>60</v>
      </c>
      <c r="I871" s="4">
        <v>3740</v>
      </c>
      <c r="J871" s="4">
        <v>2040</v>
      </c>
      <c r="K871" s="4">
        <v>1700</v>
      </c>
    </row>
    <row r="872" spans="1:11">
      <c r="A872" s="2" t="s">
        <v>301</v>
      </c>
      <c r="B872" s="3" t="s">
        <v>103</v>
      </c>
      <c r="C872" s="3" t="s">
        <v>95</v>
      </c>
      <c r="D872" s="3" t="s">
        <v>110</v>
      </c>
      <c r="E872" s="3">
        <v>20</v>
      </c>
      <c r="F872" s="3">
        <v>43</v>
      </c>
      <c r="G872" s="3">
        <v>110</v>
      </c>
      <c r="H872" s="3">
        <v>60</v>
      </c>
      <c r="I872" s="4">
        <v>4730</v>
      </c>
      <c r="J872" s="4">
        <v>2580</v>
      </c>
      <c r="K872" s="4">
        <v>2150</v>
      </c>
    </row>
    <row r="873" spans="1:11">
      <c r="A873" s="2" t="s">
        <v>226</v>
      </c>
      <c r="B873" s="3" t="s">
        <v>103</v>
      </c>
      <c r="C873" s="3" t="s">
        <v>98</v>
      </c>
      <c r="D873" s="3" t="s">
        <v>112</v>
      </c>
      <c r="E873" s="3">
        <v>37</v>
      </c>
      <c r="F873" s="3">
        <v>70</v>
      </c>
      <c r="G873" s="3">
        <v>100</v>
      </c>
      <c r="H873" s="3">
        <v>55</v>
      </c>
      <c r="I873" s="4">
        <v>7000</v>
      </c>
      <c r="J873" s="4">
        <v>3850</v>
      </c>
      <c r="K873" s="4">
        <v>3150</v>
      </c>
    </row>
    <row r="874" spans="1:11">
      <c r="A874" s="2" t="s">
        <v>444</v>
      </c>
      <c r="B874" s="3" t="s">
        <v>106</v>
      </c>
      <c r="C874" s="3" t="s">
        <v>94</v>
      </c>
      <c r="D874" s="3" t="s">
        <v>112</v>
      </c>
      <c r="E874" s="3">
        <v>32</v>
      </c>
      <c r="F874" s="3">
        <v>88</v>
      </c>
      <c r="G874" s="3">
        <v>80</v>
      </c>
      <c r="H874" s="3">
        <v>45</v>
      </c>
      <c r="I874" s="4">
        <v>7040</v>
      </c>
      <c r="J874" s="4">
        <v>3960</v>
      </c>
      <c r="K874" s="4">
        <v>3080</v>
      </c>
    </row>
    <row r="875" spans="1:11">
      <c r="A875" s="2" t="s">
        <v>356</v>
      </c>
      <c r="B875" s="3" t="s">
        <v>105</v>
      </c>
      <c r="C875" s="3" t="s">
        <v>95</v>
      </c>
      <c r="D875" s="3" t="s">
        <v>111</v>
      </c>
      <c r="E875" s="3">
        <v>34</v>
      </c>
      <c r="F875" s="3">
        <v>84</v>
      </c>
      <c r="G875" s="3">
        <v>110</v>
      </c>
      <c r="H875" s="3">
        <v>60</v>
      </c>
      <c r="I875" s="4">
        <v>9240</v>
      </c>
      <c r="J875" s="4">
        <v>5040</v>
      </c>
      <c r="K875" s="4">
        <v>4200</v>
      </c>
    </row>
    <row r="876" spans="1:11">
      <c r="A876" s="2" t="s">
        <v>271</v>
      </c>
      <c r="B876" s="3" t="s">
        <v>106</v>
      </c>
      <c r="C876" s="3" t="s">
        <v>93</v>
      </c>
      <c r="D876" s="3" t="s">
        <v>112</v>
      </c>
      <c r="E876" s="3">
        <v>31</v>
      </c>
      <c r="F876" s="3">
        <v>109</v>
      </c>
      <c r="G876" s="3">
        <v>100</v>
      </c>
      <c r="H876" s="3">
        <v>55</v>
      </c>
      <c r="I876" s="4">
        <v>10900</v>
      </c>
      <c r="J876" s="4">
        <v>5995</v>
      </c>
      <c r="K876" s="4">
        <v>4905</v>
      </c>
    </row>
    <row r="877" spans="1:11">
      <c r="A877" s="2" t="s">
        <v>457</v>
      </c>
      <c r="B877" s="3" t="s">
        <v>106</v>
      </c>
      <c r="C877" s="3" t="s">
        <v>94</v>
      </c>
      <c r="D877" s="3" t="s">
        <v>111</v>
      </c>
      <c r="E877" s="3">
        <v>35</v>
      </c>
      <c r="F877" s="3">
        <v>112</v>
      </c>
      <c r="G877" s="3">
        <v>80</v>
      </c>
      <c r="H877" s="3">
        <v>45</v>
      </c>
      <c r="I877" s="4">
        <v>8960</v>
      </c>
      <c r="J877" s="4">
        <v>5040</v>
      </c>
      <c r="K877" s="4">
        <v>3920</v>
      </c>
    </row>
    <row r="878" spans="1:11">
      <c r="A878" s="2" t="s">
        <v>262</v>
      </c>
      <c r="B878" s="3" t="s">
        <v>105</v>
      </c>
      <c r="C878" s="3" t="s">
        <v>96</v>
      </c>
      <c r="D878" s="3" t="s">
        <v>110</v>
      </c>
      <c r="E878" s="3">
        <v>34</v>
      </c>
      <c r="F878" s="3">
        <v>182</v>
      </c>
      <c r="G878" s="3">
        <v>90</v>
      </c>
      <c r="H878" s="3">
        <v>50</v>
      </c>
      <c r="I878" s="4">
        <v>16380</v>
      </c>
      <c r="J878" s="4">
        <v>9100</v>
      </c>
      <c r="K878" s="4">
        <v>7280</v>
      </c>
    </row>
    <row r="879" spans="1:11">
      <c r="A879" s="2" t="s">
        <v>458</v>
      </c>
      <c r="B879" s="3" t="s">
        <v>106</v>
      </c>
      <c r="C879" s="3" t="s">
        <v>94</v>
      </c>
      <c r="D879" s="3" t="s">
        <v>111</v>
      </c>
      <c r="E879" s="3">
        <v>32</v>
      </c>
      <c r="F879" s="3">
        <v>110</v>
      </c>
      <c r="G879" s="3">
        <v>80</v>
      </c>
      <c r="H879" s="3">
        <v>45</v>
      </c>
      <c r="I879" s="4">
        <v>8800</v>
      </c>
      <c r="J879" s="4">
        <v>4950</v>
      </c>
      <c r="K879" s="4">
        <v>3850</v>
      </c>
    </row>
    <row r="880" spans="1:11">
      <c r="A880" s="2" t="s">
        <v>305</v>
      </c>
      <c r="B880" s="3" t="s">
        <v>105</v>
      </c>
      <c r="C880" s="3" t="s">
        <v>94</v>
      </c>
      <c r="D880" s="3" t="s">
        <v>110</v>
      </c>
      <c r="E880" s="3">
        <v>23</v>
      </c>
      <c r="F880" s="3">
        <v>59</v>
      </c>
      <c r="G880" s="3">
        <v>80</v>
      </c>
      <c r="H880" s="3">
        <v>45</v>
      </c>
      <c r="I880" s="4">
        <v>4720</v>
      </c>
      <c r="J880" s="4">
        <v>2655</v>
      </c>
      <c r="K880" s="4">
        <v>2065</v>
      </c>
    </row>
    <row r="881" spans="1:11">
      <c r="A881" s="2" t="s">
        <v>269</v>
      </c>
      <c r="B881" s="3" t="s">
        <v>105</v>
      </c>
      <c r="C881" s="3" t="s">
        <v>95</v>
      </c>
      <c r="D881" s="3" t="s">
        <v>110</v>
      </c>
      <c r="E881" s="3">
        <v>26</v>
      </c>
      <c r="F881" s="3">
        <v>12</v>
      </c>
      <c r="G881" s="3">
        <v>110</v>
      </c>
      <c r="H881" s="3">
        <v>60</v>
      </c>
      <c r="I881" s="4">
        <v>1320</v>
      </c>
      <c r="J881" s="4">
        <v>720</v>
      </c>
      <c r="K881" s="4">
        <v>600</v>
      </c>
    </row>
    <row r="882" spans="1:11">
      <c r="A882" s="2" t="s">
        <v>342</v>
      </c>
      <c r="B882" s="3" t="s">
        <v>104</v>
      </c>
      <c r="C882" s="3" t="s">
        <v>95</v>
      </c>
      <c r="D882" s="3" t="s">
        <v>110</v>
      </c>
      <c r="E882" s="3">
        <v>21</v>
      </c>
      <c r="F882" s="3">
        <v>39</v>
      </c>
      <c r="G882" s="3">
        <v>110</v>
      </c>
      <c r="H882" s="3">
        <v>60</v>
      </c>
      <c r="I882" s="4">
        <v>4290</v>
      </c>
      <c r="J882" s="4">
        <v>2340</v>
      </c>
      <c r="K882" s="4">
        <v>1950</v>
      </c>
    </row>
    <row r="883" spans="1:11">
      <c r="A883" s="2" t="s">
        <v>338</v>
      </c>
      <c r="B883" s="3" t="s">
        <v>103</v>
      </c>
      <c r="C883" s="3" t="s">
        <v>94</v>
      </c>
      <c r="D883" s="3" t="s">
        <v>110</v>
      </c>
      <c r="E883" s="3">
        <v>34</v>
      </c>
      <c r="F883" s="3">
        <v>107</v>
      </c>
      <c r="G883" s="3">
        <v>80</v>
      </c>
      <c r="H883" s="3">
        <v>45</v>
      </c>
      <c r="I883" s="4">
        <v>8560</v>
      </c>
      <c r="J883" s="4">
        <v>4815</v>
      </c>
      <c r="K883" s="4">
        <v>3745</v>
      </c>
    </row>
    <row r="884" spans="1:11">
      <c r="A884" s="2" t="s">
        <v>172</v>
      </c>
      <c r="B884" s="3" t="s">
        <v>104</v>
      </c>
      <c r="C884" s="3" t="s">
        <v>96</v>
      </c>
      <c r="D884" s="3" t="s">
        <v>112</v>
      </c>
      <c r="E884" s="3">
        <v>26</v>
      </c>
      <c r="F884" s="3">
        <v>40</v>
      </c>
      <c r="G884" s="3">
        <v>90</v>
      </c>
      <c r="H884" s="3">
        <v>50</v>
      </c>
      <c r="I884" s="4">
        <v>3600</v>
      </c>
      <c r="J884" s="4">
        <v>2000</v>
      </c>
      <c r="K884" s="4">
        <v>1600</v>
      </c>
    </row>
    <row r="885" spans="1:11">
      <c r="A885" s="2" t="s">
        <v>241</v>
      </c>
      <c r="B885" s="3" t="s">
        <v>104</v>
      </c>
      <c r="C885" s="3" t="s">
        <v>94</v>
      </c>
      <c r="D885" s="3" t="s">
        <v>110</v>
      </c>
      <c r="E885" s="3">
        <v>34</v>
      </c>
      <c r="F885" s="3">
        <v>107</v>
      </c>
      <c r="G885" s="3">
        <v>80</v>
      </c>
      <c r="H885" s="3">
        <v>45</v>
      </c>
      <c r="I885" s="4">
        <v>8560</v>
      </c>
      <c r="J885" s="4">
        <v>4815</v>
      </c>
      <c r="K885" s="4">
        <v>3745</v>
      </c>
    </row>
    <row r="886" spans="1:11">
      <c r="A886" s="2" t="s">
        <v>425</v>
      </c>
      <c r="B886" s="3" t="s">
        <v>104</v>
      </c>
      <c r="C886" s="3" t="s">
        <v>96</v>
      </c>
      <c r="D886" s="3" t="s">
        <v>110</v>
      </c>
      <c r="E886" s="3">
        <v>28</v>
      </c>
      <c r="F886" s="3">
        <v>51</v>
      </c>
      <c r="G886" s="3">
        <v>90</v>
      </c>
      <c r="H886" s="3">
        <v>50</v>
      </c>
      <c r="I886" s="4">
        <v>4590</v>
      </c>
      <c r="J886" s="4">
        <v>2550</v>
      </c>
      <c r="K886" s="4">
        <v>2040</v>
      </c>
    </row>
    <row r="887" spans="1:11">
      <c r="A887" s="2" t="s">
        <v>193</v>
      </c>
      <c r="B887" s="3" t="s">
        <v>105</v>
      </c>
      <c r="C887" s="3" t="s">
        <v>98</v>
      </c>
      <c r="D887" s="3" t="s">
        <v>110</v>
      </c>
      <c r="E887" s="3">
        <v>32</v>
      </c>
      <c r="F887" s="3">
        <v>109</v>
      </c>
      <c r="G887" s="3">
        <v>100</v>
      </c>
      <c r="H887" s="3">
        <v>55</v>
      </c>
      <c r="I887" s="4">
        <v>10900</v>
      </c>
      <c r="J887" s="4">
        <v>5995</v>
      </c>
      <c r="K887" s="4">
        <v>4905</v>
      </c>
    </row>
    <row r="888" spans="1:11">
      <c r="A888" s="2" t="s">
        <v>240</v>
      </c>
      <c r="B888" s="3" t="s">
        <v>105</v>
      </c>
      <c r="C888" s="3" t="s">
        <v>97</v>
      </c>
      <c r="D888" s="3" t="s">
        <v>111</v>
      </c>
      <c r="E888" s="3">
        <v>38</v>
      </c>
      <c r="F888" s="3">
        <v>130</v>
      </c>
      <c r="G888" s="3">
        <v>130</v>
      </c>
      <c r="H888" s="3">
        <v>70</v>
      </c>
      <c r="I888" s="4">
        <v>16900</v>
      </c>
      <c r="J888" s="4">
        <v>9100</v>
      </c>
      <c r="K888" s="4">
        <v>7800</v>
      </c>
    </row>
    <row r="889" spans="1:11">
      <c r="A889" s="2" t="s">
        <v>381</v>
      </c>
      <c r="B889" s="3" t="s">
        <v>103</v>
      </c>
      <c r="C889" s="3" t="s">
        <v>93</v>
      </c>
      <c r="D889" s="3" t="s">
        <v>110</v>
      </c>
      <c r="E889" s="3">
        <v>25</v>
      </c>
      <c r="F889" s="3">
        <v>46</v>
      </c>
      <c r="G889" s="3">
        <v>100</v>
      </c>
      <c r="H889" s="3">
        <v>55</v>
      </c>
      <c r="I889" s="4">
        <v>4600</v>
      </c>
      <c r="J889" s="4">
        <v>2530</v>
      </c>
      <c r="K889" s="4">
        <v>2070</v>
      </c>
    </row>
    <row r="890" spans="1:11">
      <c r="A890" s="2" t="s">
        <v>148</v>
      </c>
      <c r="B890" s="3" t="s">
        <v>103</v>
      </c>
      <c r="C890" s="3" t="s">
        <v>93</v>
      </c>
      <c r="D890" s="3" t="s">
        <v>110</v>
      </c>
      <c r="E890" s="3">
        <v>31</v>
      </c>
      <c r="F890" s="3">
        <v>93</v>
      </c>
      <c r="G890" s="3">
        <v>100</v>
      </c>
      <c r="H890" s="3">
        <v>55</v>
      </c>
      <c r="I890" s="4">
        <v>9300</v>
      </c>
      <c r="J890" s="4">
        <v>5115</v>
      </c>
      <c r="K890" s="4">
        <v>4185</v>
      </c>
    </row>
    <row r="891" spans="1:11">
      <c r="A891" s="2" t="s">
        <v>298</v>
      </c>
      <c r="B891" s="3" t="s">
        <v>105</v>
      </c>
      <c r="C891" s="3" t="s">
        <v>98</v>
      </c>
      <c r="D891" s="3" t="s">
        <v>111</v>
      </c>
      <c r="E891" s="3">
        <v>32</v>
      </c>
      <c r="F891" s="3">
        <v>47</v>
      </c>
      <c r="G891" s="3">
        <v>100</v>
      </c>
      <c r="H891" s="3">
        <v>55</v>
      </c>
      <c r="I891" s="4">
        <v>4700</v>
      </c>
      <c r="J891" s="4">
        <v>2585</v>
      </c>
      <c r="K891" s="4">
        <v>2115</v>
      </c>
    </row>
    <row r="892" spans="1:11">
      <c r="A892" s="2" t="s">
        <v>419</v>
      </c>
      <c r="B892" s="3" t="s">
        <v>103</v>
      </c>
      <c r="C892" s="3" t="s">
        <v>95</v>
      </c>
      <c r="D892" s="3" t="s">
        <v>110</v>
      </c>
      <c r="E892" s="3">
        <v>32</v>
      </c>
      <c r="F892" s="3">
        <v>76</v>
      </c>
      <c r="G892" s="3">
        <v>110</v>
      </c>
      <c r="H892" s="3">
        <v>60</v>
      </c>
      <c r="I892" s="4">
        <v>8360</v>
      </c>
      <c r="J892" s="4">
        <v>4560</v>
      </c>
      <c r="K892" s="4">
        <v>3800</v>
      </c>
    </row>
    <row r="893" spans="1:11">
      <c r="A893" s="2" t="s">
        <v>322</v>
      </c>
      <c r="B893" s="3" t="s">
        <v>105</v>
      </c>
      <c r="C893" s="3" t="s">
        <v>94</v>
      </c>
      <c r="D893" s="3" t="s">
        <v>112</v>
      </c>
      <c r="E893" s="3">
        <v>27</v>
      </c>
      <c r="F893" s="3">
        <v>91</v>
      </c>
      <c r="G893" s="3">
        <v>80</v>
      </c>
      <c r="H893" s="3">
        <v>45</v>
      </c>
      <c r="I893" s="4">
        <v>7280</v>
      </c>
      <c r="J893" s="4">
        <v>4095</v>
      </c>
      <c r="K893" s="4">
        <v>3185</v>
      </c>
    </row>
    <row r="894" spans="1:11">
      <c r="A894" s="2" t="s">
        <v>355</v>
      </c>
      <c r="B894" s="3" t="s">
        <v>103</v>
      </c>
      <c r="C894" s="3" t="s">
        <v>95</v>
      </c>
      <c r="D894" s="3" t="s">
        <v>111</v>
      </c>
      <c r="E894" s="3">
        <v>37</v>
      </c>
      <c r="F894" s="3">
        <v>67</v>
      </c>
      <c r="G894" s="3">
        <v>110</v>
      </c>
      <c r="H894" s="3">
        <v>60</v>
      </c>
      <c r="I894" s="4">
        <v>7370</v>
      </c>
      <c r="J894" s="4">
        <v>4020</v>
      </c>
      <c r="K894" s="4">
        <v>3350</v>
      </c>
    </row>
    <row r="895" spans="1:11">
      <c r="A895" s="2" t="s">
        <v>160</v>
      </c>
      <c r="B895" s="3" t="s">
        <v>105</v>
      </c>
      <c r="C895" s="3" t="s">
        <v>93</v>
      </c>
      <c r="D895" s="3" t="s">
        <v>111</v>
      </c>
      <c r="E895" s="3">
        <v>33</v>
      </c>
      <c r="F895" s="3">
        <v>128</v>
      </c>
      <c r="G895" s="3">
        <v>100</v>
      </c>
      <c r="H895" s="3">
        <v>55</v>
      </c>
      <c r="I895" s="4">
        <v>12800</v>
      </c>
      <c r="J895" s="4">
        <v>7040</v>
      </c>
      <c r="K895" s="4">
        <v>5760</v>
      </c>
    </row>
    <row r="896" spans="1:11">
      <c r="A896" s="2" t="s">
        <v>371</v>
      </c>
      <c r="B896" s="3" t="s">
        <v>105</v>
      </c>
      <c r="C896" s="3" t="s">
        <v>94</v>
      </c>
      <c r="D896" s="3" t="s">
        <v>110</v>
      </c>
      <c r="E896" s="3">
        <v>38</v>
      </c>
      <c r="F896" s="3">
        <v>116</v>
      </c>
      <c r="G896" s="3">
        <v>80</v>
      </c>
      <c r="H896" s="3">
        <v>45</v>
      </c>
      <c r="I896" s="4">
        <v>9280</v>
      </c>
      <c r="J896" s="4">
        <v>5220</v>
      </c>
      <c r="K896" s="4">
        <v>4060</v>
      </c>
    </row>
    <row r="897" spans="1:11">
      <c r="A897" s="2" t="s">
        <v>409</v>
      </c>
      <c r="B897" s="3" t="s">
        <v>104</v>
      </c>
      <c r="C897" s="3" t="s">
        <v>93</v>
      </c>
      <c r="D897" s="3" t="s">
        <v>110</v>
      </c>
      <c r="E897" s="3">
        <v>29</v>
      </c>
      <c r="F897" s="3">
        <v>94</v>
      </c>
      <c r="G897" s="3">
        <v>100</v>
      </c>
      <c r="H897" s="3">
        <v>55</v>
      </c>
      <c r="I897" s="4">
        <v>9400</v>
      </c>
      <c r="J897" s="4">
        <v>5170</v>
      </c>
      <c r="K897" s="4">
        <v>4230</v>
      </c>
    </row>
    <row r="898" spans="1:11">
      <c r="A898" s="2" t="s">
        <v>187</v>
      </c>
      <c r="B898" s="3" t="s">
        <v>103</v>
      </c>
      <c r="C898" s="3" t="s">
        <v>98</v>
      </c>
      <c r="D898" s="3" t="s">
        <v>111</v>
      </c>
      <c r="E898" s="3">
        <v>34</v>
      </c>
      <c r="F898" s="3">
        <v>107</v>
      </c>
      <c r="G898" s="3">
        <v>100</v>
      </c>
      <c r="H898" s="3">
        <v>55</v>
      </c>
      <c r="I898" s="4">
        <v>10700</v>
      </c>
      <c r="J898" s="4">
        <v>5885</v>
      </c>
      <c r="K898" s="4">
        <v>4815</v>
      </c>
    </row>
    <row r="899" spans="1:11">
      <c r="A899" s="2" t="s">
        <v>290</v>
      </c>
      <c r="B899" s="3" t="s">
        <v>106</v>
      </c>
      <c r="C899" s="3" t="s">
        <v>93</v>
      </c>
      <c r="D899" s="3" t="s">
        <v>110</v>
      </c>
      <c r="E899" s="3">
        <v>29</v>
      </c>
      <c r="F899" s="3">
        <v>99</v>
      </c>
      <c r="G899" s="3">
        <v>100</v>
      </c>
      <c r="H899" s="3">
        <v>55</v>
      </c>
      <c r="I899" s="4">
        <v>9900</v>
      </c>
      <c r="J899" s="4">
        <v>5445</v>
      </c>
      <c r="K899" s="4">
        <v>4455</v>
      </c>
    </row>
    <row r="900" spans="1:11">
      <c r="A900" s="2" t="s">
        <v>310</v>
      </c>
      <c r="B900" s="3" t="s">
        <v>103</v>
      </c>
      <c r="C900" s="3" t="s">
        <v>93</v>
      </c>
      <c r="D900" s="3" t="s">
        <v>110</v>
      </c>
      <c r="E900" s="3">
        <v>24</v>
      </c>
      <c r="F900" s="3">
        <v>56</v>
      </c>
      <c r="G900" s="3">
        <v>100</v>
      </c>
      <c r="H900" s="3">
        <v>55</v>
      </c>
      <c r="I900" s="4">
        <v>5600</v>
      </c>
      <c r="J900" s="4">
        <v>3080</v>
      </c>
      <c r="K900" s="4">
        <v>2520</v>
      </c>
    </row>
    <row r="901" spans="1:11">
      <c r="A901" s="2" t="s">
        <v>424</v>
      </c>
      <c r="B901" s="3" t="s">
        <v>103</v>
      </c>
      <c r="C901" s="3" t="s">
        <v>93</v>
      </c>
      <c r="D901" s="3" t="s">
        <v>110</v>
      </c>
      <c r="E901" s="3">
        <v>37</v>
      </c>
      <c r="F901" s="3">
        <v>111</v>
      </c>
      <c r="G901" s="3">
        <v>100</v>
      </c>
      <c r="H901" s="3">
        <v>55</v>
      </c>
      <c r="I901" s="4">
        <v>11100</v>
      </c>
      <c r="J901" s="4">
        <v>6105</v>
      </c>
      <c r="K901" s="4">
        <v>4995</v>
      </c>
    </row>
    <row r="902" spans="1:11">
      <c r="A902" s="2" t="s">
        <v>218</v>
      </c>
      <c r="B902" s="3" t="s">
        <v>105</v>
      </c>
      <c r="C902" s="3" t="s">
        <v>98</v>
      </c>
      <c r="D902" s="3" t="s">
        <v>111</v>
      </c>
      <c r="E902" s="3">
        <v>27</v>
      </c>
      <c r="F902" s="3">
        <v>94</v>
      </c>
      <c r="G902" s="3">
        <v>100</v>
      </c>
      <c r="H902" s="3">
        <v>55</v>
      </c>
      <c r="I902" s="4">
        <v>9400</v>
      </c>
      <c r="J902" s="4">
        <v>5170</v>
      </c>
      <c r="K902" s="4">
        <v>4230</v>
      </c>
    </row>
    <row r="903" spans="1:11">
      <c r="A903" s="2" t="s">
        <v>428</v>
      </c>
      <c r="B903" s="3" t="s">
        <v>103</v>
      </c>
      <c r="C903" s="3" t="s">
        <v>97</v>
      </c>
      <c r="D903" s="3" t="s">
        <v>111</v>
      </c>
      <c r="E903" s="3">
        <v>33</v>
      </c>
      <c r="F903" s="3">
        <v>108</v>
      </c>
      <c r="G903" s="3">
        <v>130</v>
      </c>
      <c r="H903" s="3">
        <v>70</v>
      </c>
      <c r="I903" s="4">
        <v>14040</v>
      </c>
      <c r="J903" s="4">
        <v>7560</v>
      </c>
      <c r="K903" s="4">
        <v>6480</v>
      </c>
    </row>
    <row r="904" spans="1:11">
      <c r="A904" s="2" t="s">
        <v>298</v>
      </c>
      <c r="B904" s="3" t="s">
        <v>103</v>
      </c>
      <c r="C904" s="3" t="s">
        <v>95</v>
      </c>
      <c r="D904" s="3" t="s">
        <v>110</v>
      </c>
      <c r="E904" s="3">
        <v>27</v>
      </c>
      <c r="F904" s="3">
        <v>64</v>
      </c>
      <c r="G904" s="3">
        <v>110</v>
      </c>
      <c r="H904" s="3">
        <v>60</v>
      </c>
      <c r="I904" s="4">
        <v>7040</v>
      </c>
      <c r="J904" s="4">
        <v>3840</v>
      </c>
      <c r="K904" s="4">
        <v>3200</v>
      </c>
    </row>
    <row r="905" spans="1:11">
      <c r="A905" s="2" t="s">
        <v>385</v>
      </c>
      <c r="B905" s="3" t="s">
        <v>103</v>
      </c>
      <c r="C905" s="3" t="s">
        <v>98</v>
      </c>
      <c r="D905" s="3" t="s">
        <v>110</v>
      </c>
      <c r="E905" s="3">
        <v>22</v>
      </c>
      <c r="F905" s="3">
        <v>10</v>
      </c>
      <c r="G905" s="3">
        <v>100</v>
      </c>
      <c r="H905" s="3">
        <v>55</v>
      </c>
      <c r="I905" s="4">
        <v>1000</v>
      </c>
      <c r="J905" s="4">
        <v>550</v>
      </c>
      <c r="K905" s="4">
        <v>450</v>
      </c>
    </row>
    <row r="906" spans="1:11">
      <c r="A906" s="2" t="s">
        <v>379</v>
      </c>
      <c r="B906" s="3" t="s">
        <v>106</v>
      </c>
      <c r="C906" s="3" t="s">
        <v>94</v>
      </c>
      <c r="D906" s="3" t="s">
        <v>110</v>
      </c>
      <c r="E906" s="3">
        <v>18</v>
      </c>
      <c r="F906" s="3">
        <v>25</v>
      </c>
      <c r="G906" s="3">
        <v>80</v>
      </c>
      <c r="H906" s="3">
        <v>45</v>
      </c>
      <c r="I906" s="4">
        <v>2000</v>
      </c>
      <c r="J906" s="4">
        <v>1125</v>
      </c>
      <c r="K906" s="4">
        <v>875</v>
      </c>
    </row>
    <row r="907" spans="1:11">
      <c r="A907" s="2" t="s">
        <v>318</v>
      </c>
      <c r="B907" s="3" t="s">
        <v>106</v>
      </c>
      <c r="C907" s="3" t="s">
        <v>97</v>
      </c>
      <c r="D907" s="3" t="s">
        <v>111</v>
      </c>
      <c r="E907" s="3">
        <v>38</v>
      </c>
      <c r="F907" s="3">
        <v>72</v>
      </c>
      <c r="G907" s="3">
        <v>130</v>
      </c>
      <c r="H907" s="3">
        <v>70</v>
      </c>
      <c r="I907" s="4">
        <v>9360</v>
      </c>
      <c r="J907" s="4">
        <v>5040</v>
      </c>
      <c r="K907" s="4">
        <v>4320</v>
      </c>
    </row>
    <row r="908" spans="1:11">
      <c r="A908" s="2" t="s">
        <v>416</v>
      </c>
      <c r="B908" s="3" t="s">
        <v>103</v>
      </c>
      <c r="C908" s="3" t="s">
        <v>93</v>
      </c>
      <c r="D908" s="3" t="s">
        <v>110</v>
      </c>
      <c r="E908" s="3">
        <v>38</v>
      </c>
      <c r="F908" s="3">
        <v>127</v>
      </c>
      <c r="G908" s="3">
        <v>100</v>
      </c>
      <c r="H908" s="3">
        <v>55</v>
      </c>
      <c r="I908" s="4">
        <v>12700</v>
      </c>
      <c r="J908" s="4">
        <v>6985</v>
      </c>
      <c r="K908" s="4">
        <v>5715</v>
      </c>
    </row>
    <row r="909" spans="1:11">
      <c r="A909" s="2" t="s">
        <v>192</v>
      </c>
      <c r="B909" s="3" t="s">
        <v>103</v>
      </c>
      <c r="C909" s="3" t="s">
        <v>95</v>
      </c>
      <c r="D909" s="3" t="s">
        <v>110</v>
      </c>
      <c r="E909" s="3">
        <v>37</v>
      </c>
      <c r="F909" s="3">
        <v>189</v>
      </c>
      <c r="G909" s="3">
        <v>110</v>
      </c>
      <c r="H909" s="3">
        <v>60</v>
      </c>
      <c r="I909" s="4">
        <v>20790</v>
      </c>
      <c r="J909" s="4">
        <v>11340</v>
      </c>
      <c r="K909" s="4">
        <v>9450</v>
      </c>
    </row>
    <row r="910" spans="1:11">
      <c r="A910" s="2" t="s">
        <v>364</v>
      </c>
      <c r="B910" s="3" t="s">
        <v>105</v>
      </c>
      <c r="C910" s="3" t="s">
        <v>95</v>
      </c>
      <c r="D910" s="3" t="s">
        <v>110</v>
      </c>
      <c r="E910" s="3">
        <v>37</v>
      </c>
      <c r="F910" s="3">
        <v>107</v>
      </c>
      <c r="G910" s="3">
        <v>110</v>
      </c>
      <c r="H910" s="3">
        <v>60</v>
      </c>
      <c r="I910" s="4">
        <v>11770</v>
      </c>
      <c r="J910" s="4">
        <v>6420</v>
      </c>
      <c r="K910" s="4">
        <v>5350</v>
      </c>
    </row>
    <row r="911" spans="1:11">
      <c r="A911" s="2" t="s">
        <v>314</v>
      </c>
      <c r="B911" s="3" t="s">
        <v>104</v>
      </c>
      <c r="C911" s="3" t="s">
        <v>93</v>
      </c>
      <c r="D911" s="3" t="s">
        <v>110</v>
      </c>
      <c r="E911" s="3">
        <v>32</v>
      </c>
      <c r="F911" s="3">
        <v>55</v>
      </c>
      <c r="G911" s="3">
        <v>100</v>
      </c>
      <c r="H911" s="3">
        <v>55</v>
      </c>
      <c r="I911" s="4">
        <v>5500</v>
      </c>
      <c r="J911" s="4">
        <v>3025</v>
      </c>
      <c r="K911" s="4">
        <v>2475</v>
      </c>
    </row>
    <row r="912" spans="1:11">
      <c r="A912" s="2" t="s">
        <v>401</v>
      </c>
      <c r="B912" s="3" t="s">
        <v>104</v>
      </c>
      <c r="C912" s="3" t="s">
        <v>97</v>
      </c>
      <c r="D912" s="3" t="s">
        <v>110</v>
      </c>
      <c r="E912" s="3">
        <v>24</v>
      </c>
      <c r="F912" s="3">
        <v>54</v>
      </c>
      <c r="G912" s="3">
        <v>130</v>
      </c>
      <c r="H912" s="3">
        <v>70</v>
      </c>
      <c r="I912" s="4">
        <v>7020</v>
      </c>
      <c r="J912" s="4">
        <v>3780</v>
      </c>
      <c r="K912" s="4">
        <v>3240</v>
      </c>
    </row>
    <row r="913" spans="1:11">
      <c r="A913" s="2" t="s">
        <v>137</v>
      </c>
      <c r="B913" s="3" t="s">
        <v>105</v>
      </c>
      <c r="C913" s="3" t="s">
        <v>94</v>
      </c>
      <c r="D913" s="3" t="s">
        <v>111</v>
      </c>
      <c r="E913" s="3">
        <v>32</v>
      </c>
      <c r="F913" s="3">
        <v>109</v>
      </c>
      <c r="G913" s="3">
        <v>80</v>
      </c>
      <c r="H913" s="3">
        <v>45</v>
      </c>
      <c r="I913" s="4">
        <v>8720</v>
      </c>
      <c r="J913" s="4">
        <v>4905</v>
      </c>
      <c r="K913" s="4">
        <v>3815</v>
      </c>
    </row>
    <row r="914" spans="1:11">
      <c r="A914" s="2" t="s">
        <v>236</v>
      </c>
      <c r="B914" s="3" t="s">
        <v>105</v>
      </c>
      <c r="C914" s="3" t="s">
        <v>93</v>
      </c>
      <c r="D914" s="3" t="s">
        <v>110</v>
      </c>
      <c r="E914" s="3">
        <v>28</v>
      </c>
      <c r="F914" s="3">
        <v>108</v>
      </c>
      <c r="G914" s="3">
        <v>100</v>
      </c>
      <c r="H914" s="3">
        <v>55</v>
      </c>
      <c r="I914" s="4">
        <v>10800</v>
      </c>
      <c r="J914" s="4">
        <v>5940</v>
      </c>
      <c r="K914" s="4">
        <v>4860</v>
      </c>
    </row>
    <row r="915" spans="1:11">
      <c r="A915" s="2" t="s">
        <v>440</v>
      </c>
      <c r="B915" s="3" t="s">
        <v>104</v>
      </c>
      <c r="C915" s="3" t="s">
        <v>96</v>
      </c>
      <c r="D915" s="3" t="s">
        <v>111</v>
      </c>
      <c r="E915" s="3">
        <v>20</v>
      </c>
      <c r="F915" s="3">
        <v>16</v>
      </c>
      <c r="G915" s="3">
        <v>90</v>
      </c>
      <c r="H915" s="3">
        <v>50</v>
      </c>
      <c r="I915" s="4">
        <v>1440</v>
      </c>
      <c r="J915" s="4">
        <v>800</v>
      </c>
      <c r="K915" s="4">
        <v>640</v>
      </c>
    </row>
    <row r="916" spans="1:11">
      <c r="A916" s="2" t="s">
        <v>417</v>
      </c>
      <c r="B916" s="3" t="s">
        <v>106</v>
      </c>
      <c r="C916" s="3" t="s">
        <v>96</v>
      </c>
      <c r="D916" s="3" t="s">
        <v>110</v>
      </c>
      <c r="E916" s="3">
        <v>21</v>
      </c>
      <c r="F916" s="3">
        <v>10</v>
      </c>
      <c r="G916" s="3">
        <v>90</v>
      </c>
      <c r="H916" s="3">
        <v>50</v>
      </c>
      <c r="I916" s="4">
        <v>900</v>
      </c>
      <c r="J916" s="4">
        <v>500</v>
      </c>
      <c r="K916" s="4">
        <v>400</v>
      </c>
    </row>
    <row r="917" spans="1:11">
      <c r="A917" s="2" t="s">
        <v>407</v>
      </c>
      <c r="B917" s="3" t="s">
        <v>105</v>
      </c>
      <c r="C917" s="3" t="s">
        <v>97</v>
      </c>
      <c r="D917" s="3" t="s">
        <v>111</v>
      </c>
      <c r="E917" s="3">
        <v>29</v>
      </c>
      <c r="F917" s="3">
        <v>59</v>
      </c>
      <c r="G917" s="3">
        <v>130</v>
      </c>
      <c r="H917" s="3">
        <v>70</v>
      </c>
      <c r="I917" s="4">
        <v>7670</v>
      </c>
      <c r="J917" s="4">
        <v>4130</v>
      </c>
      <c r="K917" s="4">
        <v>3540</v>
      </c>
    </row>
    <row r="918" spans="1:11">
      <c r="A918" s="2" t="s">
        <v>394</v>
      </c>
      <c r="B918" s="3" t="s">
        <v>104</v>
      </c>
      <c r="C918" s="3" t="s">
        <v>94</v>
      </c>
      <c r="D918" s="3" t="s">
        <v>112</v>
      </c>
      <c r="E918" s="3">
        <v>39</v>
      </c>
      <c r="F918" s="3">
        <v>100</v>
      </c>
      <c r="G918" s="3">
        <v>80</v>
      </c>
      <c r="H918" s="3">
        <v>45</v>
      </c>
      <c r="I918" s="4">
        <v>8000</v>
      </c>
      <c r="J918" s="4">
        <v>4500</v>
      </c>
      <c r="K918" s="4">
        <v>3500</v>
      </c>
    </row>
    <row r="919" spans="1:11">
      <c r="A919" s="2" t="s">
        <v>311</v>
      </c>
      <c r="B919" s="3" t="s">
        <v>104</v>
      </c>
      <c r="C919" s="3" t="s">
        <v>95</v>
      </c>
      <c r="D919" s="3" t="s">
        <v>111</v>
      </c>
      <c r="E919" s="3">
        <v>27</v>
      </c>
      <c r="F919" s="3">
        <v>93</v>
      </c>
      <c r="G919" s="3">
        <v>110</v>
      </c>
      <c r="H919" s="3">
        <v>60</v>
      </c>
      <c r="I919" s="4">
        <v>10230</v>
      </c>
      <c r="J919" s="4">
        <v>5580</v>
      </c>
      <c r="K919" s="4">
        <v>4650</v>
      </c>
    </row>
    <row r="920" spans="1:11">
      <c r="A920" s="2" t="s">
        <v>240</v>
      </c>
      <c r="B920" s="3" t="s">
        <v>104</v>
      </c>
      <c r="C920" s="3" t="s">
        <v>93</v>
      </c>
      <c r="D920" s="3" t="s">
        <v>110</v>
      </c>
      <c r="E920" s="3">
        <v>38</v>
      </c>
      <c r="F920" s="3">
        <v>138</v>
      </c>
      <c r="G920" s="3">
        <v>100</v>
      </c>
      <c r="H920" s="3">
        <v>55</v>
      </c>
      <c r="I920" s="4">
        <v>13800</v>
      </c>
      <c r="J920" s="4">
        <v>7590</v>
      </c>
      <c r="K920" s="4">
        <v>6210</v>
      </c>
    </row>
    <row r="921" spans="1:11">
      <c r="A921" s="2" t="s">
        <v>298</v>
      </c>
      <c r="B921" s="3" t="s">
        <v>104</v>
      </c>
      <c r="C921" s="3" t="s">
        <v>94</v>
      </c>
      <c r="D921" s="3" t="s">
        <v>112</v>
      </c>
      <c r="E921" s="3">
        <v>30</v>
      </c>
      <c r="F921" s="3">
        <v>54</v>
      </c>
      <c r="G921" s="3">
        <v>80</v>
      </c>
      <c r="H921" s="3">
        <v>45</v>
      </c>
      <c r="I921" s="4">
        <v>4320</v>
      </c>
      <c r="J921" s="4">
        <v>2430</v>
      </c>
      <c r="K921" s="4">
        <v>1890</v>
      </c>
    </row>
    <row r="922" spans="1:11">
      <c r="A922" s="2" t="s">
        <v>278</v>
      </c>
      <c r="B922" s="3" t="s">
        <v>104</v>
      </c>
      <c r="C922" s="3" t="s">
        <v>94</v>
      </c>
      <c r="D922" s="3" t="s">
        <v>110</v>
      </c>
      <c r="E922" s="3">
        <v>39</v>
      </c>
      <c r="F922" s="3">
        <v>159</v>
      </c>
      <c r="G922" s="3">
        <v>80</v>
      </c>
      <c r="H922" s="3">
        <v>45</v>
      </c>
      <c r="I922" s="4">
        <v>12720</v>
      </c>
      <c r="J922" s="4">
        <v>7155</v>
      </c>
      <c r="K922" s="4">
        <v>5565</v>
      </c>
    </row>
    <row r="923" spans="1:11">
      <c r="A923" s="2" t="s">
        <v>419</v>
      </c>
      <c r="B923" s="3" t="s">
        <v>106</v>
      </c>
      <c r="C923" s="3" t="s">
        <v>94</v>
      </c>
      <c r="D923" s="3" t="s">
        <v>110</v>
      </c>
      <c r="E923" s="3">
        <v>39</v>
      </c>
      <c r="F923" s="3">
        <v>170</v>
      </c>
      <c r="G923" s="3">
        <v>80</v>
      </c>
      <c r="H923" s="3">
        <v>45</v>
      </c>
      <c r="I923" s="4">
        <v>13600</v>
      </c>
      <c r="J923" s="4">
        <v>7650</v>
      </c>
      <c r="K923" s="4">
        <v>5950</v>
      </c>
    </row>
    <row r="924" spans="1:11">
      <c r="A924" s="2" t="s">
        <v>402</v>
      </c>
      <c r="B924" s="3" t="s">
        <v>103</v>
      </c>
      <c r="C924" s="3" t="s">
        <v>93</v>
      </c>
      <c r="D924" s="3" t="s">
        <v>111</v>
      </c>
      <c r="E924" s="3">
        <v>39</v>
      </c>
      <c r="F924" s="3">
        <v>143</v>
      </c>
      <c r="G924" s="3">
        <v>100</v>
      </c>
      <c r="H924" s="3">
        <v>55</v>
      </c>
      <c r="I924" s="4">
        <v>14300</v>
      </c>
      <c r="J924" s="4">
        <v>7865</v>
      </c>
      <c r="K924" s="4">
        <v>6435</v>
      </c>
    </row>
    <row r="925" spans="1:11">
      <c r="A925" s="2" t="s">
        <v>163</v>
      </c>
      <c r="B925" s="3" t="s">
        <v>104</v>
      </c>
      <c r="C925" s="3" t="s">
        <v>94</v>
      </c>
      <c r="D925" s="3" t="s">
        <v>110</v>
      </c>
      <c r="E925" s="3">
        <v>26</v>
      </c>
      <c r="F925" s="3">
        <v>103</v>
      </c>
      <c r="G925" s="3">
        <v>80</v>
      </c>
      <c r="H925" s="3">
        <v>45</v>
      </c>
      <c r="I925" s="4">
        <v>8240</v>
      </c>
      <c r="J925" s="4">
        <v>4635</v>
      </c>
      <c r="K925" s="4">
        <v>3605</v>
      </c>
    </row>
    <row r="926" spans="1:11">
      <c r="A926" s="2" t="s">
        <v>460</v>
      </c>
      <c r="B926" s="3" t="s">
        <v>103</v>
      </c>
      <c r="C926" s="3" t="s">
        <v>95</v>
      </c>
      <c r="D926" s="3" t="s">
        <v>111</v>
      </c>
      <c r="E926" s="3">
        <v>34</v>
      </c>
      <c r="F926" s="3">
        <v>46</v>
      </c>
      <c r="G926" s="3">
        <v>110</v>
      </c>
      <c r="H926" s="3">
        <v>60</v>
      </c>
      <c r="I926" s="4">
        <v>5060</v>
      </c>
      <c r="J926" s="4">
        <v>2760</v>
      </c>
      <c r="K926" s="4">
        <v>2300</v>
      </c>
    </row>
    <row r="927" spans="1:11">
      <c r="A927" s="2" t="s">
        <v>461</v>
      </c>
      <c r="B927" s="3" t="s">
        <v>103</v>
      </c>
      <c r="C927" s="3" t="s">
        <v>95</v>
      </c>
      <c r="D927" s="3" t="s">
        <v>112</v>
      </c>
      <c r="E927" s="3">
        <v>25</v>
      </c>
      <c r="F927" s="3">
        <v>29</v>
      </c>
      <c r="G927" s="3">
        <v>110</v>
      </c>
      <c r="H927" s="3">
        <v>60</v>
      </c>
      <c r="I927" s="4">
        <v>3190</v>
      </c>
      <c r="J927" s="4">
        <v>1740</v>
      </c>
      <c r="K927" s="4">
        <v>1450</v>
      </c>
    </row>
    <row r="928" spans="1:11">
      <c r="A928" s="2" t="s">
        <v>213</v>
      </c>
      <c r="B928" s="3" t="s">
        <v>103</v>
      </c>
      <c r="C928" s="3" t="s">
        <v>98</v>
      </c>
      <c r="D928" s="3" t="s">
        <v>110</v>
      </c>
      <c r="E928" s="3">
        <v>30</v>
      </c>
      <c r="F928" s="3">
        <v>44</v>
      </c>
      <c r="G928" s="3">
        <v>100</v>
      </c>
      <c r="H928" s="3">
        <v>55</v>
      </c>
      <c r="I928" s="4">
        <v>4400</v>
      </c>
      <c r="J928" s="4">
        <v>2420</v>
      </c>
      <c r="K928" s="4">
        <v>1980</v>
      </c>
    </row>
    <row r="929" spans="1:11">
      <c r="A929" s="2" t="s">
        <v>428</v>
      </c>
      <c r="B929" s="3" t="s">
        <v>106</v>
      </c>
      <c r="C929" s="3" t="s">
        <v>95</v>
      </c>
      <c r="D929" s="3" t="s">
        <v>110</v>
      </c>
      <c r="E929" s="3">
        <v>26</v>
      </c>
      <c r="F929" s="3">
        <v>55</v>
      </c>
      <c r="G929" s="3">
        <v>110</v>
      </c>
      <c r="H929" s="3">
        <v>60</v>
      </c>
      <c r="I929" s="4">
        <v>6050</v>
      </c>
      <c r="J929" s="4">
        <v>3300</v>
      </c>
      <c r="K929" s="4">
        <v>2750</v>
      </c>
    </row>
    <row r="930" spans="1:11">
      <c r="A930" s="2" t="s">
        <v>167</v>
      </c>
      <c r="B930" s="3" t="s">
        <v>103</v>
      </c>
      <c r="C930" s="3" t="s">
        <v>98</v>
      </c>
      <c r="D930" s="3" t="s">
        <v>112</v>
      </c>
      <c r="E930" s="3">
        <v>18</v>
      </c>
      <c r="F930" s="3">
        <v>28</v>
      </c>
      <c r="G930" s="3">
        <v>100</v>
      </c>
      <c r="H930" s="3">
        <v>55</v>
      </c>
      <c r="I930" s="4">
        <v>2800</v>
      </c>
      <c r="J930" s="4">
        <v>1540</v>
      </c>
      <c r="K930" s="4">
        <v>1260</v>
      </c>
    </row>
    <row r="931" spans="1:11">
      <c r="A931" s="2" t="s">
        <v>205</v>
      </c>
      <c r="B931" s="3" t="s">
        <v>103</v>
      </c>
      <c r="C931" s="3" t="s">
        <v>98</v>
      </c>
      <c r="D931" s="3" t="s">
        <v>110</v>
      </c>
      <c r="E931" s="3">
        <v>41</v>
      </c>
      <c r="F931" s="3">
        <v>104</v>
      </c>
      <c r="G931" s="3">
        <v>100</v>
      </c>
      <c r="H931" s="3">
        <v>55</v>
      </c>
      <c r="I931" s="4">
        <v>10400</v>
      </c>
      <c r="J931" s="4">
        <v>5720</v>
      </c>
      <c r="K931" s="4">
        <v>4680</v>
      </c>
    </row>
    <row r="932" spans="1:11">
      <c r="A932" s="2" t="s">
        <v>203</v>
      </c>
      <c r="B932" s="3" t="s">
        <v>105</v>
      </c>
      <c r="C932" s="3" t="s">
        <v>97</v>
      </c>
      <c r="D932" s="3" t="s">
        <v>111</v>
      </c>
      <c r="E932" s="3">
        <v>21</v>
      </c>
      <c r="F932" s="3">
        <v>55</v>
      </c>
      <c r="G932" s="3">
        <v>130</v>
      </c>
      <c r="H932" s="3">
        <v>70</v>
      </c>
      <c r="I932" s="4">
        <v>7150</v>
      </c>
      <c r="J932" s="4">
        <v>3850</v>
      </c>
      <c r="K932" s="4">
        <v>3300</v>
      </c>
    </row>
    <row r="933" spans="1:11">
      <c r="A933" s="2" t="s">
        <v>418</v>
      </c>
      <c r="B933" s="3" t="s">
        <v>104</v>
      </c>
      <c r="C933" s="3" t="s">
        <v>95</v>
      </c>
      <c r="D933" s="3" t="s">
        <v>110</v>
      </c>
      <c r="E933" s="3">
        <v>33</v>
      </c>
      <c r="F933" s="3">
        <v>109</v>
      </c>
      <c r="G933" s="3">
        <v>110</v>
      </c>
      <c r="H933" s="3">
        <v>60</v>
      </c>
      <c r="I933" s="4">
        <v>11990</v>
      </c>
      <c r="J933" s="4">
        <v>6540</v>
      </c>
      <c r="K933" s="4">
        <v>5450</v>
      </c>
    </row>
    <row r="934" spans="1:11">
      <c r="A934" s="2" t="s">
        <v>388</v>
      </c>
      <c r="B934" s="3" t="s">
        <v>105</v>
      </c>
      <c r="C934" s="3" t="s">
        <v>93</v>
      </c>
      <c r="D934" s="3" t="s">
        <v>110</v>
      </c>
      <c r="E934" s="3">
        <v>40</v>
      </c>
      <c r="F934" s="3">
        <v>120</v>
      </c>
      <c r="G934" s="3">
        <v>100</v>
      </c>
      <c r="H934" s="3">
        <v>55</v>
      </c>
      <c r="I934" s="4">
        <v>12000</v>
      </c>
      <c r="J934" s="4">
        <v>6600</v>
      </c>
      <c r="K934" s="4">
        <v>5400</v>
      </c>
    </row>
    <row r="935" spans="1:11">
      <c r="A935" s="2" t="s">
        <v>242</v>
      </c>
      <c r="B935" s="3" t="s">
        <v>103</v>
      </c>
      <c r="C935" s="3" t="s">
        <v>96</v>
      </c>
      <c r="D935" s="3" t="s">
        <v>110</v>
      </c>
      <c r="E935" s="3">
        <v>26</v>
      </c>
      <c r="F935" s="3">
        <v>35</v>
      </c>
      <c r="G935" s="3">
        <v>90</v>
      </c>
      <c r="H935" s="3">
        <v>50</v>
      </c>
      <c r="I935" s="4">
        <v>3150</v>
      </c>
      <c r="J935" s="4">
        <v>1750</v>
      </c>
      <c r="K935" s="4">
        <v>1400</v>
      </c>
    </row>
    <row r="936" spans="1:11">
      <c r="A936" s="2" t="s">
        <v>312</v>
      </c>
      <c r="B936" s="3" t="s">
        <v>103</v>
      </c>
      <c r="C936" s="3" t="s">
        <v>93</v>
      </c>
      <c r="D936" s="3" t="s">
        <v>111</v>
      </c>
      <c r="E936" s="3">
        <v>27</v>
      </c>
      <c r="F936" s="3">
        <v>55</v>
      </c>
      <c r="G936" s="3">
        <v>100</v>
      </c>
      <c r="H936" s="3">
        <v>55</v>
      </c>
      <c r="I936" s="4">
        <v>5500</v>
      </c>
      <c r="J936" s="4">
        <v>3025</v>
      </c>
      <c r="K936" s="4">
        <v>2475</v>
      </c>
    </row>
    <row r="937" spans="1:11">
      <c r="A937" s="2" t="s">
        <v>462</v>
      </c>
      <c r="B937" s="3" t="s">
        <v>106</v>
      </c>
      <c r="C937" s="3" t="s">
        <v>93</v>
      </c>
      <c r="D937" s="3" t="s">
        <v>111</v>
      </c>
      <c r="E937" s="3">
        <v>39</v>
      </c>
      <c r="F937" s="3">
        <v>62</v>
      </c>
      <c r="G937" s="3">
        <v>100</v>
      </c>
      <c r="H937" s="3">
        <v>55</v>
      </c>
      <c r="I937" s="4">
        <v>6200</v>
      </c>
      <c r="J937" s="4">
        <v>3410</v>
      </c>
      <c r="K937" s="4">
        <v>2790</v>
      </c>
    </row>
    <row r="938" spans="1:11">
      <c r="A938" s="2" t="s">
        <v>164</v>
      </c>
      <c r="B938" s="3" t="s">
        <v>104</v>
      </c>
      <c r="C938" s="3" t="s">
        <v>95</v>
      </c>
      <c r="D938" s="3" t="s">
        <v>110</v>
      </c>
      <c r="E938" s="3">
        <v>41</v>
      </c>
      <c r="F938" s="3">
        <v>115</v>
      </c>
      <c r="G938" s="3">
        <v>110</v>
      </c>
      <c r="H938" s="3">
        <v>60</v>
      </c>
      <c r="I938" s="4">
        <v>12650</v>
      </c>
      <c r="J938" s="4">
        <v>6900</v>
      </c>
      <c r="K938" s="4">
        <v>5750</v>
      </c>
    </row>
    <row r="939" spans="1:11">
      <c r="A939" s="2" t="s">
        <v>355</v>
      </c>
      <c r="B939" s="3" t="s">
        <v>105</v>
      </c>
      <c r="C939" s="3" t="s">
        <v>94</v>
      </c>
      <c r="D939" s="3" t="s">
        <v>111</v>
      </c>
      <c r="E939" s="3">
        <v>33</v>
      </c>
      <c r="F939" s="3">
        <v>173</v>
      </c>
      <c r="G939" s="3">
        <v>80</v>
      </c>
      <c r="H939" s="3">
        <v>45</v>
      </c>
      <c r="I939" s="4">
        <v>13840</v>
      </c>
      <c r="J939" s="4">
        <v>7785</v>
      </c>
      <c r="K939" s="4">
        <v>6055</v>
      </c>
    </row>
    <row r="940" spans="1:11">
      <c r="A940" s="2" t="s">
        <v>302</v>
      </c>
      <c r="B940" s="3" t="s">
        <v>106</v>
      </c>
      <c r="C940" s="3" t="s">
        <v>98</v>
      </c>
      <c r="D940" s="3" t="s">
        <v>110</v>
      </c>
      <c r="E940" s="3">
        <v>33</v>
      </c>
      <c r="F940" s="3">
        <v>89</v>
      </c>
      <c r="G940" s="3">
        <v>100</v>
      </c>
      <c r="H940" s="3">
        <v>55</v>
      </c>
      <c r="I940" s="4">
        <v>8900</v>
      </c>
      <c r="J940" s="4">
        <v>4895</v>
      </c>
      <c r="K940" s="4">
        <v>4005</v>
      </c>
    </row>
    <row r="941" spans="1:11">
      <c r="A941" s="2" t="s">
        <v>318</v>
      </c>
      <c r="B941" s="3" t="s">
        <v>103</v>
      </c>
      <c r="C941" s="3" t="s">
        <v>93</v>
      </c>
      <c r="D941" s="3" t="s">
        <v>112</v>
      </c>
      <c r="E941" s="3">
        <v>35</v>
      </c>
      <c r="F941" s="3">
        <v>183</v>
      </c>
      <c r="G941" s="3">
        <v>100</v>
      </c>
      <c r="H941" s="3">
        <v>55</v>
      </c>
      <c r="I941" s="4">
        <v>18300</v>
      </c>
      <c r="J941" s="4">
        <v>10065</v>
      </c>
      <c r="K941" s="4">
        <v>8235</v>
      </c>
    </row>
    <row r="942" spans="1:11">
      <c r="A942" s="2" t="s">
        <v>298</v>
      </c>
      <c r="B942" s="3" t="s">
        <v>106</v>
      </c>
      <c r="C942" s="3" t="s">
        <v>94</v>
      </c>
      <c r="D942" s="3" t="s">
        <v>111</v>
      </c>
      <c r="E942" s="3">
        <v>33</v>
      </c>
      <c r="F942" s="3">
        <v>80</v>
      </c>
      <c r="G942" s="3">
        <v>80</v>
      </c>
      <c r="H942" s="3">
        <v>45</v>
      </c>
      <c r="I942" s="4">
        <v>6400</v>
      </c>
      <c r="J942" s="4">
        <v>3600</v>
      </c>
      <c r="K942" s="4">
        <v>2800</v>
      </c>
    </row>
    <row r="943" spans="1:11">
      <c r="A943" s="2" t="s">
        <v>430</v>
      </c>
      <c r="B943" s="3" t="s">
        <v>104</v>
      </c>
      <c r="C943" s="3" t="s">
        <v>96</v>
      </c>
      <c r="D943" s="3" t="s">
        <v>110</v>
      </c>
      <c r="E943" s="3">
        <v>36</v>
      </c>
      <c r="F943" s="3">
        <v>102</v>
      </c>
      <c r="G943" s="3">
        <v>90</v>
      </c>
      <c r="H943" s="3">
        <v>50</v>
      </c>
      <c r="I943" s="4">
        <v>9180</v>
      </c>
      <c r="J943" s="4">
        <v>5100</v>
      </c>
      <c r="K943" s="4">
        <v>4080</v>
      </c>
    </row>
    <row r="944" spans="1:11">
      <c r="A944" s="2" t="s">
        <v>327</v>
      </c>
      <c r="B944" s="3" t="s">
        <v>105</v>
      </c>
      <c r="C944" s="3" t="s">
        <v>93</v>
      </c>
      <c r="D944" s="3" t="s">
        <v>110</v>
      </c>
      <c r="E944" s="3">
        <v>30</v>
      </c>
      <c r="F944" s="3">
        <v>32</v>
      </c>
      <c r="G944" s="3">
        <v>100</v>
      </c>
      <c r="H944" s="3">
        <v>55</v>
      </c>
      <c r="I944" s="4">
        <v>3200</v>
      </c>
      <c r="J944" s="4">
        <v>1760</v>
      </c>
      <c r="K944" s="4">
        <v>1440</v>
      </c>
    </row>
    <row r="945" spans="1:11">
      <c r="A945" s="2" t="s">
        <v>196</v>
      </c>
      <c r="B945" s="3" t="s">
        <v>103</v>
      </c>
      <c r="C945" s="3" t="s">
        <v>95</v>
      </c>
      <c r="D945" s="3" t="s">
        <v>110</v>
      </c>
      <c r="E945" s="3">
        <v>18</v>
      </c>
      <c r="F945" s="3">
        <v>15</v>
      </c>
      <c r="G945" s="3">
        <v>110</v>
      </c>
      <c r="H945" s="3">
        <v>60</v>
      </c>
      <c r="I945" s="4">
        <v>1650</v>
      </c>
      <c r="J945" s="4">
        <v>900</v>
      </c>
      <c r="K945" s="4">
        <v>750</v>
      </c>
    </row>
    <row r="946" spans="1:11">
      <c r="A946" s="2" t="s">
        <v>256</v>
      </c>
      <c r="B946" s="3" t="s">
        <v>103</v>
      </c>
      <c r="C946" s="3" t="s">
        <v>94</v>
      </c>
      <c r="D946" s="3" t="s">
        <v>111</v>
      </c>
      <c r="E946" s="3">
        <v>41</v>
      </c>
      <c r="F946" s="3">
        <v>121</v>
      </c>
      <c r="G946" s="3">
        <v>80</v>
      </c>
      <c r="H946" s="3">
        <v>45</v>
      </c>
      <c r="I946" s="4">
        <v>9680</v>
      </c>
      <c r="J946" s="4">
        <v>5445</v>
      </c>
      <c r="K946" s="4">
        <v>4235</v>
      </c>
    </row>
    <row r="947" spans="1:11">
      <c r="A947" s="2" t="s">
        <v>315</v>
      </c>
      <c r="B947" s="3" t="s">
        <v>103</v>
      </c>
      <c r="C947" s="3" t="s">
        <v>93</v>
      </c>
      <c r="D947" s="3" t="s">
        <v>111</v>
      </c>
      <c r="E947" s="3">
        <v>32</v>
      </c>
      <c r="F947" s="3">
        <v>67</v>
      </c>
      <c r="G947" s="3">
        <v>100</v>
      </c>
      <c r="H947" s="3">
        <v>55</v>
      </c>
      <c r="I947" s="4">
        <v>6700</v>
      </c>
      <c r="J947" s="4">
        <v>3685</v>
      </c>
      <c r="K947" s="4">
        <v>3015</v>
      </c>
    </row>
    <row r="948" spans="1:11">
      <c r="A948" s="2" t="s">
        <v>347</v>
      </c>
      <c r="B948" s="3" t="s">
        <v>106</v>
      </c>
      <c r="C948" s="3" t="s">
        <v>96</v>
      </c>
      <c r="D948" s="3" t="s">
        <v>110</v>
      </c>
      <c r="E948" s="3">
        <v>28</v>
      </c>
      <c r="F948" s="3">
        <v>96</v>
      </c>
      <c r="G948" s="3">
        <v>90</v>
      </c>
      <c r="H948" s="3">
        <v>50</v>
      </c>
      <c r="I948" s="4">
        <v>8640</v>
      </c>
      <c r="J948" s="4">
        <v>4800</v>
      </c>
      <c r="K948" s="4">
        <v>3840</v>
      </c>
    </row>
    <row r="949" spans="1:11">
      <c r="A949" s="2" t="s">
        <v>321</v>
      </c>
      <c r="B949" s="3" t="s">
        <v>105</v>
      </c>
      <c r="C949" s="3" t="s">
        <v>96</v>
      </c>
      <c r="D949" s="3" t="s">
        <v>110</v>
      </c>
      <c r="E949" s="3">
        <v>27</v>
      </c>
      <c r="F949" s="3">
        <v>33</v>
      </c>
      <c r="G949" s="3">
        <v>90</v>
      </c>
      <c r="H949" s="3">
        <v>50</v>
      </c>
      <c r="I949" s="4">
        <v>2970</v>
      </c>
      <c r="J949" s="4">
        <v>1650</v>
      </c>
      <c r="K949" s="4">
        <v>1320</v>
      </c>
    </row>
    <row r="950" spans="1:11">
      <c r="A950" s="2" t="s">
        <v>463</v>
      </c>
      <c r="B950" s="3" t="s">
        <v>103</v>
      </c>
      <c r="C950" s="3" t="s">
        <v>94</v>
      </c>
      <c r="D950" s="3" t="s">
        <v>111</v>
      </c>
      <c r="E950" s="3">
        <v>33</v>
      </c>
      <c r="F950" s="3">
        <v>35</v>
      </c>
      <c r="G950" s="3">
        <v>80</v>
      </c>
      <c r="H950" s="3">
        <v>45</v>
      </c>
      <c r="I950" s="4">
        <v>2800</v>
      </c>
      <c r="J950" s="4">
        <v>1575</v>
      </c>
      <c r="K950" s="4">
        <v>1225</v>
      </c>
    </row>
    <row r="951" spans="1:11">
      <c r="A951" s="2" t="s">
        <v>375</v>
      </c>
      <c r="B951" s="3" t="s">
        <v>105</v>
      </c>
      <c r="C951" s="3" t="s">
        <v>95</v>
      </c>
      <c r="D951" s="3" t="s">
        <v>111</v>
      </c>
      <c r="E951" s="3">
        <v>33</v>
      </c>
      <c r="F951" s="3">
        <v>122</v>
      </c>
      <c r="G951" s="3">
        <v>110</v>
      </c>
      <c r="H951" s="3">
        <v>60</v>
      </c>
      <c r="I951" s="4">
        <v>13420</v>
      </c>
      <c r="J951" s="4">
        <v>7320</v>
      </c>
      <c r="K951" s="4">
        <v>6100</v>
      </c>
    </row>
    <row r="952" spans="1:11">
      <c r="A952" s="2" t="s">
        <v>304</v>
      </c>
      <c r="B952" s="3" t="s">
        <v>103</v>
      </c>
      <c r="C952" s="3" t="s">
        <v>93</v>
      </c>
      <c r="D952" s="3" t="s">
        <v>111</v>
      </c>
      <c r="E952" s="3">
        <v>21</v>
      </c>
      <c r="F952" s="3">
        <v>30</v>
      </c>
      <c r="G952" s="3">
        <v>100</v>
      </c>
      <c r="H952" s="3">
        <v>55</v>
      </c>
      <c r="I952" s="4">
        <v>3000</v>
      </c>
      <c r="J952" s="4">
        <v>1650</v>
      </c>
      <c r="K952" s="4">
        <v>1350</v>
      </c>
    </row>
    <row r="953" spans="1:11">
      <c r="A953" s="2" t="s">
        <v>225</v>
      </c>
      <c r="B953" s="3" t="s">
        <v>103</v>
      </c>
      <c r="C953" s="3" t="s">
        <v>94</v>
      </c>
      <c r="D953" s="3" t="s">
        <v>110</v>
      </c>
      <c r="E953" s="3">
        <v>37</v>
      </c>
      <c r="F953" s="3">
        <v>63</v>
      </c>
      <c r="G953" s="3">
        <v>80</v>
      </c>
      <c r="H953" s="3">
        <v>45</v>
      </c>
      <c r="I953" s="4">
        <v>5040</v>
      </c>
      <c r="J953" s="4">
        <v>2835</v>
      </c>
      <c r="K953" s="4">
        <v>2205</v>
      </c>
    </row>
    <row r="954" spans="1:11">
      <c r="A954" s="2" t="s">
        <v>336</v>
      </c>
      <c r="B954" s="3" t="s">
        <v>104</v>
      </c>
      <c r="C954" s="3" t="s">
        <v>93</v>
      </c>
      <c r="D954" s="3" t="s">
        <v>110</v>
      </c>
      <c r="E954" s="3">
        <v>29</v>
      </c>
      <c r="F954" s="3">
        <v>68</v>
      </c>
      <c r="G954" s="3">
        <v>100</v>
      </c>
      <c r="H954" s="3">
        <v>55</v>
      </c>
      <c r="I954" s="4">
        <v>6800</v>
      </c>
      <c r="J954" s="4">
        <v>3740</v>
      </c>
      <c r="K954" s="4">
        <v>3060</v>
      </c>
    </row>
    <row r="955" spans="1:11">
      <c r="A955" s="2" t="s">
        <v>288</v>
      </c>
      <c r="B955" s="3" t="s">
        <v>103</v>
      </c>
      <c r="C955" s="3" t="s">
        <v>93</v>
      </c>
      <c r="D955" s="3" t="s">
        <v>111</v>
      </c>
      <c r="E955" s="3">
        <v>31</v>
      </c>
      <c r="F955" s="3">
        <v>67</v>
      </c>
      <c r="G955" s="3">
        <v>100</v>
      </c>
      <c r="H955" s="3">
        <v>55</v>
      </c>
      <c r="I955" s="4">
        <v>6700</v>
      </c>
      <c r="J955" s="4">
        <v>3685</v>
      </c>
      <c r="K955" s="4">
        <v>3015</v>
      </c>
    </row>
    <row r="956" spans="1:11">
      <c r="A956" s="2" t="s">
        <v>418</v>
      </c>
      <c r="B956" s="3" t="s">
        <v>103</v>
      </c>
      <c r="C956" s="3" t="s">
        <v>93</v>
      </c>
      <c r="D956" s="3" t="s">
        <v>112</v>
      </c>
      <c r="E956" s="3">
        <v>26</v>
      </c>
      <c r="F956" s="3">
        <v>35</v>
      </c>
      <c r="G956" s="3">
        <v>100</v>
      </c>
      <c r="H956" s="3">
        <v>55</v>
      </c>
      <c r="I956" s="4">
        <v>3500</v>
      </c>
      <c r="J956" s="4">
        <v>1925</v>
      </c>
      <c r="K956" s="4">
        <v>1575</v>
      </c>
    </row>
    <row r="957" spans="1:11">
      <c r="A957" s="2" t="s">
        <v>252</v>
      </c>
      <c r="B957" s="3" t="s">
        <v>104</v>
      </c>
      <c r="C957" s="3" t="s">
        <v>95</v>
      </c>
      <c r="D957" s="3" t="s">
        <v>110</v>
      </c>
      <c r="E957" s="3">
        <v>30</v>
      </c>
      <c r="F957" s="3">
        <v>101</v>
      </c>
      <c r="G957" s="3">
        <v>110</v>
      </c>
      <c r="H957" s="3">
        <v>60</v>
      </c>
      <c r="I957" s="4">
        <v>11110</v>
      </c>
      <c r="J957" s="4">
        <v>6060</v>
      </c>
      <c r="K957" s="4">
        <v>5050</v>
      </c>
    </row>
    <row r="958" spans="1:11">
      <c r="A958" s="2" t="s">
        <v>409</v>
      </c>
      <c r="B958" s="3" t="s">
        <v>103</v>
      </c>
      <c r="C958" s="3" t="s">
        <v>94</v>
      </c>
      <c r="D958" s="3" t="s">
        <v>110</v>
      </c>
      <c r="E958" s="3">
        <v>27</v>
      </c>
      <c r="F958" s="3">
        <v>62</v>
      </c>
      <c r="G958" s="3">
        <v>80</v>
      </c>
      <c r="H958" s="3">
        <v>45</v>
      </c>
      <c r="I958" s="4">
        <v>4960</v>
      </c>
      <c r="J958" s="4">
        <v>2790</v>
      </c>
      <c r="K958" s="4">
        <v>2170</v>
      </c>
    </row>
    <row r="959" spans="1:11">
      <c r="A959" s="2" t="s">
        <v>161</v>
      </c>
      <c r="B959" s="3" t="s">
        <v>106</v>
      </c>
      <c r="C959" s="3" t="s">
        <v>94</v>
      </c>
      <c r="D959" s="3" t="s">
        <v>110</v>
      </c>
      <c r="E959" s="3">
        <v>34</v>
      </c>
      <c r="F959" s="3">
        <v>56</v>
      </c>
      <c r="G959" s="3">
        <v>80</v>
      </c>
      <c r="H959" s="3">
        <v>45</v>
      </c>
      <c r="I959" s="4">
        <v>4480</v>
      </c>
      <c r="J959" s="4">
        <v>2520</v>
      </c>
      <c r="K959" s="4">
        <v>1960</v>
      </c>
    </row>
    <row r="960" spans="1:11">
      <c r="A960" s="2" t="s">
        <v>255</v>
      </c>
      <c r="B960" s="3" t="s">
        <v>106</v>
      </c>
      <c r="C960" s="3" t="s">
        <v>93</v>
      </c>
      <c r="D960" s="3" t="s">
        <v>110</v>
      </c>
      <c r="E960" s="3">
        <v>33</v>
      </c>
      <c r="F960" s="3">
        <v>72</v>
      </c>
      <c r="G960" s="3">
        <v>100</v>
      </c>
      <c r="H960" s="3">
        <v>55</v>
      </c>
      <c r="I960" s="4">
        <v>7200</v>
      </c>
      <c r="J960" s="4">
        <v>3960</v>
      </c>
      <c r="K960" s="4">
        <v>3240</v>
      </c>
    </row>
    <row r="961" spans="1:11">
      <c r="A961" s="2" t="s">
        <v>464</v>
      </c>
      <c r="B961" s="3" t="s">
        <v>106</v>
      </c>
      <c r="C961" s="3" t="s">
        <v>94</v>
      </c>
      <c r="D961" s="3" t="s">
        <v>110</v>
      </c>
      <c r="E961" s="3">
        <v>32</v>
      </c>
      <c r="F961" s="3">
        <v>93</v>
      </c>
      <c r="G961" s="3">
        <v>80</v>
      </c>
      <c r="H961" s="3">
        <v>45</v>
      </c>
      <c r="I961" s="4">
        <v>7440</v>
      </c>
      <c r="J961" s="4">
        <v>4185</v>
      </c>
      <c r="K961" s="4">
        <v>3255</v>
      </c>
    </row>
    <row r="962" spans="1:11">
      <c r="A962" s="2" t="s">
        <v>357</v>
      </c>
      <c r="B962" s="3" t="s">
        <v>103</v>
      </c>
      <c r="C962" s="3" t="s">
        <v>97</v>
      </c>
      <c r="D962" s="3" t="s">
        <v>110</v>
      </c>
      <c r="E962" s="3">
        <v>28</v>
      </c>
      <c r="F962" s="3">
        <v>64</v>
      </c>
      <c r="G962" s="3">
        <v>130</v>
      </c>
      <c r="H962" s="3">
        <v>70</v>
      </c>
      <c r="I962" s="4">
        <v>8320</v>
      </c>
      <c r="J962" s="4">
        <v>4480</v>
      </c>
      <c r="K962" s="4">
        <v>3840</v>
      </c>
    </row>
    <row r="963" spans="1:11">
      <c r="A963" s="2" t="s">
        <v>271</v>
      </c>
      <c r="B963" s="3" t="s">
        <v>104</v>
      </c>
      <c r="C963" s="3" t="s">
        <v>95</v>
      </c>
      <c r="D963" s="3" t="s">
        <v>111</v>
      </c>
      <c r="E963" s="3">
        <v>30</v>
      </c>
      <c r="F963" s="3">
        <v>59</v>
      </c>
      <c r="G963" s="3">
        <v>110</v>
      </c>
      <c r="H963" s="3">
        <v>60</v>
      </c>
      <c r="I963" s="4">
        <v>6490</v>
      </c>
      <c r="J963" s="4">
        <v>3540</v>
      </c>
      <c r="K963" s="4">
        <v>2950</v>
      </c>
    </row>
    <row r="964" spans="1:11">
      <c r="A964" s="2" t="s">
        <v>440</v>
      </c>
      <c r="B964" s="3" t="s">
        <v>106</v>
      </c>
      <c r="C964" s="3" t="s">
        <v>95</v>
      </c>
      <c r="D964" s="3" t="s">
        <v>112</v>
      </c>
      <c r="E964" s="3">
        <v>18</v>
      </c>
      <c r="F964" s="3">
        <v>45</v>
      </c>
      <c r="G964" s="3">
        <v>110</v>
      </c>
      <c r="H964" s="3">
        <v>60</v>
      </c>
      <c r="I964" s="4">
        <v>4950</v>
      </c>
      <c r="J964" s="4">
        <v>2700</v>
      </c>
      <c r="K964" s="4">
        <v>2250</v>
      </c>
    </row>
    <row r="965" spans="1:11">
      <c r="A965" s="2" t="s">
        <v>405</v>
      </c>
      <c r="B965" s="3" t="s">
        <v>103</v>
      </c>
      <c r="C965" s="3" t="s">
        <v>95</v>
      </c>
      <c r="D965" s="3" t="s">
        <v>111</v>
      </c>
      <c r="E965" s="3">
        <v>20</v>
      </c>
      <c r="F965" s="3">
        <v>46</v>
      </c>
      <c r="G965" s="3">
        <v>110</v>
      </c>
      <c r="H965" s="3">
        <v>60</v>
      </c>
      <c r="I965" s="4">
        <v>5060</v>
      </c>
      <c r="J965" s="4">
        <v>2760</v>
      </c>
      <c r="K965" s="4">
        <v>2300</v>
      </c>
    </row>
    <row r="966" spans="1:11">
      <c r="A966" s="2" t="s">
        <v>465</v>
      </c>
      <c r="B966" s="3" t="s">
        <v>103</v>
      </c>
      <c r="C966" s="3" t="s">
        <v>93</v>
      </c>
      <c r="D966" s="3" t="s">
        <v>110</v>
      </c>
      <c r="E966" s="3">
        <v>30</v>
      </c>
      <c r="F966" s="3">
        <v>63</v>
      </c>
      <c r="G966" s="3">
        <v>100</v>
      </c>
      <c r="H966" s="3">
        <v>55</v>
      </c>
      <c r="I966" s="4">
        <v>6300</v>
      </c>
      <c r="J966" s="4">
        <v>3465</v>
      </c>
      <c r="K966" s="4">
        <v>2835</v>
      </c>
    </row>
    <row r="967" spans="1:11">
      <c r="A967" s="2" t="s">
        <v>455</v>
      </c>
      <c r="B967" s="3" t="s">
        <v>105</v>
      </c>
      <c r="C967" s="3" t="s">
        <v>97</v>
      </c>
      <c r="D967" s="3" t="s">
        <v>111</v>
      </c>
      <c r="E967" s="3">
        <v>20</v>
      </c>
      <c r="F967" s="3">
        <v>22</v>
      </c>
      <c r="G967" s="3">
        <v>130</v>
      </c>
      <c r="H967" s="3">
        <v>70</v>
      </c>
      <c r="I967" s="4">
        <v>2860</v>
      </c>
      <c r="J967" s="4">
        <v>1540</v>
      </c>
      <c r="K967" s="4">
        <v>1320</v>
      </c>
    </row>
    <row r="968" spans="1:11">
      <c r="A968" s="2" t="s">
        <v>264</v>
      </c>
      <c r="B968" s="3" t="s">
        <v>104</v>
      </c>
      <c r="C968" s="3" t="s">
        <v>94</v>
      </c>
      <c r="D968" s="3" t="s">
        <v>110</v>
      </c>
      <c r="E968" s="3">
        <v>27</v>
      </c>
      <c r="F968" s="3">
        <v>105</v>
      </c>
      <c r="G968" s="3">
        <v>80</v>
      </c>
      <c r="H968" s="3">
        <v>45</v>
      </c>
      <c r="I968" s="4">
        <v>8400</v>
      </c>
      <c r="J968" s="4">
        <v>4725</v>
      </c>
      <c r="K968" s="4">
        <v>3675</v>
      </c>
    </row>
    <row r="969" spans="1:11">
      <c r="A969" s="2" t="s">
        <v>462</v>
      </c>
      <c r="B969" s="3" t="s">
        <v>104</v>
      </c>
      <c r="C969" s="3" t="s">
        <v>97</v>
      </c>
      <c r="D969" s="3" t="s">
        <v>111</v>
      </c>
      <c r="E969" s="3">
        <v>36</v>
      </c>
      <c r="F969" s="3">
        <v>51</v>
      </c>
      <c r="G969" s="3">
        <v>130</v>
      </c>
      <c r="H969" s="3">
        <v>70</v>
      </c>
      <c r="I969" s="4">
        <v>6630</v>
      </c>
      <c r="J969" s="4">
        <v>3570</v>
      </c>
      <c r="K969" s="4">
        <v>3060</v>
      </c>
    </row>
    <row r="970" spans="1:11">
      <c r="A970" s="2" t="s">
        <v>277</v>
      </c>
      <c r="B970" s="3" t="s">
        <v>103</v>
      </c>
      <c r="C970" s="3" t="s">
        <v>98</v>
      </c>
      <c r="D970" s="3" t="s">
        <v>110</v>
      </c>
      <c r="E970" s="3">
        <v>34</v>
      </c>
      <c r="F970" s="3">
        <v>89</v>
      </c>
      <c r="G970" s="3">
        <v>100</v>
      </c>
      <c r="H970" s="3">
        <v>55</v>
      </c>
      <c r="I970" s="4">
        <v>8900</v>
      </c>
      <c r="J970" s="4">
        <v>4895</v>
      </c>
      <c r="K970" s="4">
        <v>4005</v>
      </c>
    </row>
    <row r="971" spans="1:11">
      <c r="A971" s="2" t="s">
        <v>307</v>
      </c>
      <c r="B971" s="3" t="s">
        <v>104</v>
      </c>
      <c r="C971" s="3" t="s">
        <v>94</v>
      </c>
      <c r="D971" s="3" t="s">
        <v>110</v>
      </c>
      <c r="E971" s="3">
        <v>34</v>
      </c>
      <c r="F971" s="3">
        <v>81</v>
      </c>
      <c r="G971" s="3">
        <v>80</v>
      </c>
      <c r="H971" s="3">
        <v>45</v>
      </c>
      <c r="I971" s="4">
        <v>6480</v>
      </c>
      <c r="J971" s="4">
        <v>3645</v>
      </c>
      <c r="K971" s="4">
        <v>2835</v>
      </c>
    </row>
    <row r="972" spans="1:11">
      <c r="A972" s="2" t="s">
        <v>416</v>
      </c>
      <c r="B972" s="3" t="s">
        <v>106</v>
      </c>
      <c r="C972" s="3" t="s">
        <v>93</v>
      </c>
      <c r="D972" s="3" t="s">
        <v>110</v>
      </c>
      <c r="E972" s="3">
        <v>39</v>
      </c>
      <c r="F972" s="3">
        <v>56</v>
      </c>
      <c r="G972" s="3">
        <v>100</v>
      </c>
      <c r="H972" s="3">
        <v>55</v>
      </c>
      <c r="I972" s="4">
        <v>5600</v>
      </c>
      <c r="J972" s="4">
        <v>3080</v>
      </c>
      <c r="K972" s="4">
        <v>2520</v>
      </c>
    </row>
    <row r="973" spans="1:11">
      <c r="A973" s="2" t="s">
        <v>203</v>
      </c>
      <c r="B973" s="3" t="s">
        <v>103</v>
      </c>
      <c r="C973" s="3" t="s">
        <v>93</v>
      </c>
      <c r="D973" s="3" t="s">
        <v>111</v>
      </c>
      <c r="E973" s="3">
        <v>21</v>
      </c>
      <c r="F973" s="3">
        <v>10</v>
      </c>
      <c r="G973" s="3">
        <v>100</v>
      </c>
      <c r="H973" s="3">
        <v>55</v>
      </c>
      <c r="I973" s="4">
        <v>1000</v>
      </c>
      <c r="J973" s="4">
        <v>550</v>
      </c>
      <c r="K973" s="4">
        <v>450</v>
      </c>
    </row>
    <row r="974" spans="1:11">
      <c r="A974" s="2" t="s">
        <v>443</v>
      </c>
      <c r="B974" s="3" t="s">
        <v>106</v>
      </c>
      <c r="C974" s="3" t="s">
        <v>95</v>
      </c>
      <c r="D974" s="3" t="s">
        <v>112</v>
      </c>
      <c r="E974" s="3">
        <v>18</v>
      </c>
      <c r="F974" s="3">
        <v>30</v>
      </c>
      <c r="G974" s="3">
        <v>110</v>
      </c>
      <c r="H974" s="3">
        <v>60</v>
      </c>
      <c r="I974" s="4">
        <v>3300</v>
      </c>
      <c r="J974" s="4">
        <v>1800</v>
      </c>
      <c r="K974" s="4">
        <v>1500</v>
      </c>
    </row>
    <row r="975" spans="1:11">
      <c r="A975" s="2" t="s">
        <v>421</v>
      </c>
      <c r="B975" s="3" t="s">
        <v>103</v>
      </c>
      <c r="C975" s="3" t="s">
        <v>98</v>
      </c>
      <c r="D975" s="3" t="s">
        <v>112</v>
      </c>
      <c r="E975" s="3">
        <v>29</v>
      </c>
      <c r="F975" s="3">
        <v>90</v>
      </c>
      <c r="G975" s="3">
        <v>100</v>
      </c>
      <c r="H975" s="3">
        <v>55</v>
      </c>
      <c r="I975" s="4">
        <v>9000</v>
      </c>
      <c r="J975" s="4">
        <v>4950</v>
      </c>
      <c r="K975" s="4">
        <v>4050</v>
      </c>
    </row>
    <row r="976" spans="1:11">
      <c r="A976" s="2" t="s">
        <v>171</v>
      </c>
      <c r="B976" s="3" t="s">
        <v>103</v>
      </c>
      <c r="C976" s="3" t="s">
        <v>96</v>
      </c>
      <c r="D976" s="3" t="s">
        <v>110</v>
      </c>
      <c r="E976" s="3">
        <v>41</v>
      </c>
      <c r="F976" s="3">
        <v>189</v>
      </c>
      <c r="G976" s="3">
        <v>90</v>
      </c>
      <c r="H976" s="3">
        <v>50</v>
      </c>
      <c r="I976" s="4">
        <v>17010</v>
      </c>
      <c r="J976" s="4">
        <v>9450</v>
      </c>
      <c r="K976" s="4">
        <v>7560</v>
      </c>
    </row>
    <row r="977" spans="1:11">
      <c r="A977" s="2" t="s">
        <v>289</v>
      </c>
      <c r="B977" s="3" t="s">
        <v>103</v>
      </c>
      <c r="C977" s="3" t="s">
        <v>93</v>
      </c>
      <c r="D977" s="3" t="s">
        <v>111</v>
      </c>
      <c r="E977" s="3">
        <v>23</v>
      </c>
      <c r="F977" s="3">
        <v>14</v>
      </c>
      <c r="G977" s="3">
        <v>100</v>
      </c>
      <c r="H977" s="3">
        <v>55</v>
      </c>
      <c r="I977" s="4">
        <v>1400</v>
      </c>
      <c r="J977" s="4">
        <v>770</v>
      </c>
      <c r="K977" s="4">
        <v>630</v>
      </c>
    </row>
    <row r="978" spans="1:11">
      <c r="A978" s="2" t="s">
        <v>447</v>
      </c>
      <c r="B978" s="3" t="s">
        <v>106</v>
      </c>
      <c r="C978" s="3" t="s">
        <v>93</v>
      </c>
      <c r="D978" s="3" t="s">
        <v>110</v>
      </c>
      <c r="E978" s="3">
        <v>32</v>
      </c>
      <c r="F978" s="3">
        <v>106</v>
      </c>
      <c r="G978" s="3">
        <v>100</v>
      </c>
      <c r="H978" s="3">
        <v>55</v>
      </c>
      <c r="I978" s="4">
        <v>10600</v>
      </c>
      <c r="J978" s="4">
        <v>5830</v>
      </c>
      <c r="K978" s="4">
        <v>4770</v>
      </c>
    </row>
    <row r="979" spans="1:11">
      <c r="A979" s="2" t="s">
        <v>309</v>
      </c>
      <c r="B979" s="3" t="s">
        <v>106</v>
      </c>
      <c r="C979" s="3" t="s">
        <v>93</v>
      </c>
      <c r="D979" s="3" t="s">
        <v>110</v>
      </c>
      <c r="E979" s="3">
        <v>36</v>
      </c>
      <c r="F979" s="3">
        <v>117</v>
      </c>
      <c r="G979" s="3">
        <v>100</v>
      </c>
      <c r="H979" s="3">
        <v>55</v>
      </c>
      <c r="I979" s="4">
        <v>11700</v>
      </c>
      <c r="J979" s="4">
        <v>6435</v>
      </c>
      <c r="K979" s="4">
        <v>5265</v>
      </c>
    </row>
    <row r="980" spans="1:11">
      <c r="A980" s="2" t="s">
        <v>466</v>
      </c>
      <c r="B980" s="3" t="s">
        <v>105</v>
      </c>
      <c r="C980" s="3" t="s">
        <v>94</v>
      </c>
      <c r="D980" s="3" t="s">
        <v>112</v>
      </c>
      <c r="E980" s="3">
        <v>34</v>
      </c>
      <c r="F980" s="3">
        <v>80</v>
      </c>
      <c r="G980" s="3">
        <v>80</v>
      </c>
      <c r="H980" s="3">
        <v>45</v>
      </c>
      <c r="I980" s="4">
        <v>6400</v>
      </c>
      <c r="J980" s="4">
        <v>3600</v>
      </c>
      <c r="K980" s="4">
        <v>2800</v>
      </c>
    </row>
    <row r="981" spans="1:11">
      <c r="A981" s="2" t="s">
        <v>185</v>
      </c>
      <c r="B981" s="3" t="s">
        <v>103</v>
      </c>
      <c r="C981" s="3" t="s">
        <v>95</v>
      </c>
      <c r="D981" s="3" t="s">
        <v>110</v>
      </c>
      <c r="E981" s="3">
        <v>41</v>
      </c>
      <c r="F981" s="3">
        <v>100</v>
      </c>
      <c r="G981" s="3">
        <v>110</v>
      </c>
      <c r="H981" s="3">
        <v>60</v>
      </c>
      <c r="I981" s="4">
        <v>11000</v>
      </c>
      <c r="J981" s="4">
        <v>6000</v>
      </c>
      <c r="K981" s="4">
        <v>5000</v>
      </c>
    </row>
    <row r="982" spans="1:11">
      <c r="A982" s="2" t="s">
        <v>177</v>
      </c>
      <c r="B982" s="3" t="s">
        <v>103</v>
      </c>
      <c r="C982" s="3" t="s">
        <v>97</v>
      </c>
      <c r="D982" s="3" t="s">
        <v>110</v>
      </c>
      <c r="E982" s="3">
        <v>19</v>
      </c>
      <c r="F982" s="3">
        <v>32</v>
      </c>
      <c r="G982" s="3">
        <v>130</v>
      </c>
      <c r="H982" s="3">
        <v>70</v>
      </c>
      <c r="I982" s="4">
        <v>4160</v>
      </c>
      <c r="J982" s="4">
        <v>2240</v>
      </c>
      <c r="K982" s="4">
        <v>1920</v>
      </c>
    </row>
    <row r="983" spans="1:11">
      <c r="A983" s="2" t="s">
        <v>150</v>
      </c>
      <c r="B983" s="3" t="s">
        <v>106</v>
      </c>
      <c r="C983" s="3" t="s">
        <v>93</v>
      </c>
      <c r="D983" s="3" t="s">
        <v>110</v>
      </c>
      <c r="E983" s="3">
        <v>40</v>
      </c>
      <c r="F983" s="3">
        <v>112</v>
      </c>
      <c r="G983" s="3">
        <v>100</v>
      </c>
      <c r="H983" s="3">
        <v>55</v>
      </c>
      <c r="I983" s="4">
        <v>11200</v>
      </c>
      <c r="J983" s="4">
        <v>6160</v>
      </c>
      <c r="K983" s="4">
        <v>5040</v>
      </c>
    </row>
    <row r="984" spans="1:11">
      <c r="A984" s="2" t="s">
        <v>266</v>
      </c>
      <c r="B984" s="3" t="s">
        <v>104</v>
      </c>
      <c r="C984" s="3" t="s">
        <v>95</v>
      </c>
      <c r="D984" s="3" t="s">
        <v>111</v>
      </c>
      <c r="E984" s="3">
        <v>27</v>
      </c>
      <c r="F984" s="3">
        <v>74</v>
      </c>
      <c r="G984" s="3">
        <v>110</v>
      </c>
      <c r="H984" s="3">
        <v>60</v>
      </c>
      <c r="I984" s="4">
        <v>8140</v>
      </c>
      <c r="J984" s="4">
        <v>4440</v>
      </c>
      <c r="K984" s="4">
        <v>3700</v>
      </c>
    </row>
    <row r="985" spans="1:11">
      <c r="A985" s="2" t="s">
        <v>431</v>
      </c>
      <c r="B985" s="3" t="s">
        <v>106</v>
      </c>
      <c r="C985" s="3" t="s">
        <v>93</v>
      </c>
      <c r="D985" s="3" t="s">
        <v>110</v>
      </c>
      <c r="E985" s="3">
        <v>32</v>
      </c>
      <c r="F985" s="3">
        <v>30</v>
      </c>
      <c r="G985" s="3">
        <v>100</v>
      </c>
      <c r="H985" s="3">
        <v>55</v>
      </c>
      <c r="I985" s="4">
        <v>3000</v>
      </c>
      <c r="J985" s="4">
        <v>1650</v>
      </c>
      <c r="K985" s="4">
        <v>1350</v>
      </c>
    </row>
    <row r="986" spans="1:11">
      <c r="A986" s="2" t="s">
        <v>411</v>
      </c>
      <c r="B986" s="3" t="s">
        <v>104</v>
      </c>
      <c r="C986" s="3" t="s">
        <v>93</v>
      </c>
      <c r="D986" s="3" t="s">
        <v>110</v>
      </c>
      <c r="E986" s="3">
        <v>27</v>
      </c>
      <c r="F986" s="3">
        <v>44</v>
      </c>
      <c r="G986" s="3">
        <v>100</v>
      </c>
      <c r="H986" s="3">
        <v>55</v>
      </c>
      <c r="I986" s="4">
        <v>4400</v>
      </c>
      <c r="J986" s="4">
        <v>2420</v>
      </c>
      <c r="K986" s="4">
        <v>1980</v>
      </c>
    </row>
    <row r="987" spans="1:11">
      <c r="A987" s="2" t="s">
        <v>271</v>
      </c>
      <c r="B987" s="3" t="s">
        <v>104</v>
      </c>
      <c r="C987" s="3" t="s">
        <v>94</v>
      </c>
      <c r="D987" s="3" t="s">
        <v>111</v>
      </c>
      <c r="E987" s="3">
        <v>29</v>
      </c>
      <c r="F987" s="3">
        <v>51</v>
      </c>
      <c r="G987" s="3">
        <v>80</v>
      </c>
      <c r="H987" s="3">
        <v>45</v>
      </c>
      <c r="I987" s="4">
        <v>4080</v>
      </c>
      <c r="J987" s="4">
        <v>2295</v>
      </c>
      <c r="K987" s="4">
        <v>1785</v>
      </c>
    </row>
    <row r="988" spans="1:11">
      <c r="A988" s="2" t="s">
        <v>392</v>
      </c>
      <c r="B988" s="3" t="s">
        <v>104</v>
      </c>
      <c r="C988" s="3" t="s">
        <v>93</v>
      </c>
      <c r="D988" s="3" t="s">
        <v>110</v>
      </c>
      <c r="E988" s="3">
        <v>33</v>
      </c>
      <c r="F988" s="3">
        <v>60</v>
      </c>
      <c r="G988" s="3">
        <v>100</v>
      </c>
      <c r="H988" s="3">
        <v>55</v>
      </c>
      <c r="I988" s="4">
        <v>6000</v>
      </c>
      <c r="J988" s="4">
        <v>3300</v>
      </c>
      <c r="K988" s="4">
        <v>2700</v>
      </c>
    </row>
    <row r="989" spans="1:11">
      <c r="A989" s="2" t="s">
        <v>423</v>
      </c>
      <c r="B989" s="3" t="s">
        <v>104</v>
      </c>
      <c r="C989" s="3" t="s">
        <v>93</v>
      </c>
      <c r="D989" s="3" t="s">
        <v>112</v>
      </c>
      <c r="E989" s="3">
        <v>34</v>
      </c>
      <c r="F989" s="3">
        <v>109</v>
      </c>
      <c r="G989" s="3">
        <v>100</v>
      </c>
      <c r="H989" s="3">
        <v>55</v>
      </c>
      <c r="I989" s="4">
        <v>10900</v>
      </c>
      <c r="J989" s="4">
        <v>5995</v>
      </c>
      <c r="K989" s="4">
        <v>4905</v>
      </c>
    </row>
    <row r="990" spans="1:11">
      <c r="A990" s="2" t="s">
        <v>269</v>
      </c>
      <c r="B990" s="3" t="s">
        <v>104</v>
      </c>
      <c r="C990" s="3" t="s">
        <v>93</v>
      </c>
      <c r="D990" s="3" t="s">
        <v>110</v>
      </c>
      <c r="E990" s="3">
        <v>20</v>
      </c>
      <c r="F990" s="3">
        <v>45</v>
      </c>
      <c r="G990" s="3">
        <v>100</v>
      </c>
      <c r="H990" s="3">
        <v>55</v>
      </c>
      <c r="I990" s="4">
        <v>4500</v>
      </c>
      <c r="J990" s="4">
        <v>2475</v>
      </c>
      <c r="K990" s="4">
        <v>2025</v>
      </c>
    </row>
    <row r="991" spans="1:11">
      <c r="A991" s="2" t="s">
        <v>234</v>
      </c>
      <c r="B991" s="3" t="s">
        <v>106</v>
      </c>
      <c r="C991" s="3" t="s">
        <v>95</v>
      </c>
      <c r="D991" s="3" t="s">
        <v>112</v>
      </c>
      <c r="E991" s="3">
        <v>32</v>
      </c>
      <c r="F991" s="3">
        <v>78</v>
      </c>
      <c r="G991" s="3">
        <v>110</v>
      </c>
      <c r="H991" s="3">
        <v>60</v>
      </c>
      <c r="I991" s="4">
        <v>8580</v>
      </c>
      <c r="J991" s="4">
        <v>4680</v>
      </c>
      <c r="K991" s="4">
        <v>3900</v>
      </c>
    </row>
    <row r="992" spans="1:11">
      <c r="A992" s="2" t="s">
        <v>467</v>
      </c>
      <c r="B992" s="3" t="s">
        <v>106</v>
      </c>
      <c r="C992" s="3" t="s">
        <v>95</v>
      </c>
      <c r="D992" s="3" t="s">
        <v>110</v>
      </c>
      <c r="E992" s="3">
        <v>24</v>
      </c>
      <c r="F992" s="3">
        <v>29</v>
      </c>
      <c r="G992" s="3">
        <v>110</v>
      </c>
      <c r="H992" s="3">
        <v>60</v>
      </c>
      <c r="I992" s="4">
        <v>3190</v>
      </c>
      <c r="J992" s="4">
        <v>1740</v>
      </c>
      <c r="K992" s="4">
        <v>1450</v>
      </c>
    </row>
    <row r="993" spans="1:11">
      <c r="A993" s="2" t="s">
        <v>468</v>
      </c>
      <c r="B993" s="3" t="s">
        <v>104</v>
      </c>
      <c r="C993" s="3" t="s">
        <v>93</v>
      </c>
      <c r="D993" s="3" t="s">
        <v>111</v>
      </c>
      <c r="E993" s="3">
        <v>34</v>
      </c>
      <c r="F993" s="3">
        <v>86</v>
      </c>
      <c r="G993" s="3">
        <v>100</v>
      </c>
      <c r="H993" s="3">
        <v>55</v>
      </c>
      <c r="I993" s="4">
        <v>8600</v>
      </c>
      <c r="J993" s="4">
        <v>4730</v>
      </c>
      <c r="K993" s="4">
        <v>3870</v>
      </c>
    </row>
    <row r="994" spans="1:11">
      <c r="A994" s="2" t="s">
        <v>442</v>
      </c>
      <c r="B994" s="3" t="s">
        <v>103</v>
      </c>
      <c r="C994" s="3" t="s">
        <v>94</v>
      </c>
      <c r="D994" s="3" t="s">
        <v>110</v>
      </c>
      <c r="E994" s="3">
        <v>28</v>
      </c>
      <c r="F994" s="3">
        <v>81</v>
      </c>
      <c r="G994" s="3">
        <v>80</v>
      </c>
      <c r="H994" s="3">
        <v>45</v>
      </c>
      <c r="I994" s="4">
        <v>6480</v>
      </c>
      <c r="J994" s="4">
        <v>3645</v>
      </c>
      <c r="K994" s="4">
        <v>2835</v>
      </c>
    </row>
    <row r="995" spans="1:11">
      <c r="A995" s="2" t="s">
        <v>188</v>
      </c>
      <c r="B995" s="3" t="s">
        <v>103</v>
      </c>
      <c r="C995" s="3" t="s">
        <v>94</v>
      </c>
      <c r="D995" s="3" t="s">
        <v>110</v>
      </c>
      <c r="E995" s="3">
        <v>19</v>
      </c>
      <c r="F995" s="3">
        <v>43</v>
      </c>
      <c r="G995" s="3">
        <v>80</v>
      </c>
      <c r="H995" s="3">
        <v>45</v>
      </c>
      <c r="I995" s="4">
        <v>3440</v>
      </c>
      <c r="J995" s="4">
        <v>1935</v>
      </c>
      <c r="K995" s="4">
        <v>1505</v>
      </c>
    </row>
    <row r="996" spans="1:11">
      <c r="A996" s="2" t="s">
        <v>381</v>
      </c>
      <c r="B996" s="3" t="s">
        <v>104</v>
      </c>
      <c r="C996" s="3" t="s">
        <v>94</v>
      </c>
      <c r="D996" s="3" t="s">
        <v>110</v>
      </c>
      <c r="E996" s="3">
        <v>22</v>
      </c>
      <c r="F996" s="3">
        <v>48</v>
      </c>
      <c r="G996" s="3">
        <v>80</v>
      </c>
      <c r="H996" s="3">
        <v>45</v>
      </c>
      <c r="I996" s="4">
        <v>3840</v>
      </c>
      <c r="J996" s="4">
        <v>2160</v>
      </c>
      <c r="K996" s="4">
        <v>1680</v>
      </c>
    </row>
    <row r="997" spans="1:11">
      <c r="A997" s="2" t="s">
        <v>469</v>
      </c>
      <c r="B997" s="3" t="s">
        <v>106</v>
      </c>
      <c r="C997" s="3" t="s">
        <v>95</v>
      </c>
      <c r="D997" s="3" t="s">
        <v>110</v>
      </c>
      <c r="E997" s="3">
        <v>18</v>
      </c>
      <c r="F997" s="3">
        <v>17</v>
      </c>
      <c r="G997" s="3">
        <v>110</v>
      </c>
      <c r="H997" s="3">
        <v>60</v>
      </c>
      <c r="I997" s="4">
        <v>1870</v>
      </c>
      <c r="J997" s="4">
        <v>1020</v>
      </c>
      <c r="K997" s="4">
        <v>850</v>
      </c>
    </row>
    <row r="998" spans="1:11">
      <c r="A998" s="2" t="s">
        <v>459</v>
      </c>
      <c r="B998" s="3" t="s">
        <v>105</v>
      </c>
      <c r="C998" s="3" t="s">
        <v>97</v>
      </c>
      <c r="D998" s="3" t="s">
        <v>111</v>
      </c>
      <c r="E998" s="3">
        <v>40</v>
      </c>
      <c r="F998" s="3">
        <v>98</v>
      </c>
      <c r="G998" s="3">
        <v>130</v>
      </c>
      <c r="H998" s="3">
        <v>70</v>
      </c>
      <c r="I998" s="4">
        <v>12740</v>
      </c>
      <c r="J998" s="4">
        <v>6860</v>
      </c>
      <c r="K998" s="4">
        <v>5880</v>
      </c>
    </row>
    <row r="999" spans="1:11">
      <c r="A999" s="2" t="s">
        <v>396</v>
      </c>
      <c r="B999" s="3" t="s">
        <v>103</v>
      </c>
      <c r="C999" s="3" t="s">
        <v>95</v>
      </c>
      <c r="D999" s="3" t="s">
        <v>110</v>
      </c>
      <c r="E999" s="3">
        <v>37</v>
      </c>
      <c r="F999" s="3">
        <v>89</v>
      </c>
      <c r="G999" s="3">
        <v>110</v>
      </c>
      <c r="H999" s="3">
        <v>60</v>
      </c>
      <c r="I999" s="4">
        <v>9790</v>
      </c>
      <c r="J999" s="4">
        <v>5340</v>
      </c>
      <c r="K999" s="4">
        <v>4450</v>
      </c>
    </row>
    <row r="1000" spans="1:11">
      <c r="A1000" s="2" t="s">
        <v>365</v>
      </c>
      <c r="B1000" s="3" t="s">
        <v>105</v>
      </c>
      <c r="C1000" s="3" t="s">
        <v>94</v>
      </c>
      <c r="D1000" s="3" t="s">
        <v>110</v>
      </c>
      <c r="E1000" s="3">
        <v>39</v>
      </c>
      <c r="F1000" s="3">
        <v>127</v>
      </c>
      <c r="G1000" s="3">
        <v>80</v>
      </c>
      <c r="H1000" s="3">
        <v>45</v>
      </c>
      <c r="I1000" s="4">
        <v>10160</v>
      </c>
      <c r="J1000" s="4">
        <v>5715</v>
      </c>
      <c r="K1000" s="4">
        <v>4445</v>
      </c>
    </row>
    <row r="1001" spans="1:11">
      <c r="A1001" s="2" t="s">
        <v>419</v>
      </c>
      <c r="B1001" s="3" t="s">
        <v>105</v>
      </c>
      <c r="C1001" s="3" t="s">
        <v>96</v>
      </c>
      <c r="D1001" s="3" t="s">
        <v>112</v>
      </c>
      <c r="E1001" s="3">
        <v>41</v>
      </c>
      <c r="F1001" s="3">
        <v>157</v>
      </c>
      <c r="G1001" s="3">
        <v>90</v>
      </c>
      <c r="H1001" s="3">
        <v>50</v>
      </c>
      <c r="I1001" s="4">
        <v>14130</v>
      </c>
      <c r="J1001" s="4">
        <v>7850</v>
      </c>
      <c r="K1001" s="4">
        <v>6280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4"/>
  <sheetViews>
    <sheetView workbookViewId="0">
      <selection sqref="A1:M1"/>
    </sheetView>
  </sheetViews>
  <sheetFormatPr defaultRowHeight="15"/>
  <cols>
    <col min="1" max="1" width="57" customWidth="1"/>
    <col min="2" max="5" width="61" customWidth="1"/>
    <col min="6" max="13" width="15" customWidth="1"/>
  </cols>
  <sheetData>
    <row r="1" spans="1:13" ht="39.950000000000003" customHeight="1">
      <c r="A1" s="37" t="s">
        <v>470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>
      <c r="A3" s="5" t="s">
        <v>471</v>
      </c>
      <c r="B3" s="6">
        <f>SUM('Sales Data 2024'!I2:I1001)</f>
        <v>7789500</v>
      </c>
    </row>
    <row r="4" spans="1:13">
      <c r="A4" s="5" t="s">
        <v>472</v>
      </c>
      <c r="B4" s="6">
        <f>SUM('Sales Data 2024'!K2:K1001)</f>
        <v>3497485</v>
      </c>
    </row>
    <row r="5" spans="1:13">
      <c r="A5" s="5" t="s">
        <v>473</v>
      </c>
      <c r="B5" s="7">
        <f>B4/B3</f>
        <v>0.44899993581102765</v>
      </c>
    </row>
    <row r="6" spans="1:13">
      <c r="A6" s="5" t="s">
        <v>474</v>
      </c>
      <c r="B6" s="8">
        <f>SUM('Sales Data 2024'!F2:F1001)</f>
        <v>79453</v>
      </c>
    </row>
    <row r="9" spans="1:13" ht="17.25">
      <c r="A9" s="9" t="s">
        <v>475</v>
      </c>
    </row>
    <row r="10" spans="1:13">
      <c r="A10" s="10" t="s">
        <v>92</v>
      </c>
      <c r="B10" s="10" t="s">
        <v>100</v>
      </c>
      <c r="C10" s="10" t="s">
        <v>476</v>
      </c>
      <c r="D10" s="10" t="s">
        <v>477</v>
      </c>
      <c r="E10" s="10" t="s">
        <v>478</v>
      </c>
    </row>
    <row r="11" spans="1:13">
      <c r="A11" t="s">
        <v>95</v>
      </c>
      <c r="B11" s="11">
        <f>SUMIF('Sales Data 2024'!C:C, A11, 'Sales Data 2024'!F:F)</f>
        <v>11604</v>
      </c>
      <c r="C11" s="12">
        <f>SUMIF('Sales Data 2024'!C:C, A11, 'Sales Data 2024'!I:I)</f>
        <v>1276440</v>
      </c>
      <c r="D11" s="12">
        <f>SUMIF('Sales Data 2024'!C:C, A11, 'Sales Data 2024'!J:J)</f>
        <v>696240</v>
      </c>
      <c r="E11" s="12">
        <f>SUMIF('Sales Data 2024'!C:C, A11, 'Sales Data 2024'!K:K)</f>
        <v>580200</v>
      </c>
    </row>
    <row r="12" spans="1:13">
      <c r="A12" t="s">
        <v>94</v>
      </c>
      <c r="B12" s="11">
        <f>SUMIF('Sales Data 2024'!C:C, A12, 'Sales Data 2024'!F:F)</f>
        <v>19444</v>
      </c>
      <c r="C12" s="12">
        <f>SUMIF('Sales Data 2024'!C:C, A12, 'Sales Data 2024'!I:I)</f>
        <v>1555520</v>
      </c>
      <c r="D12" s="12">
        <f>SUMIF('Sales Data 2024'!C:C, A12, 'Sales Data 2024'!J:J)</f>
        <v>874980</v>
      </c>
      <c r="E12" s="12">
        <f>SUMIF('Sales Data 2024'!C:C, A12, 'Sales Data 2024'!K:K)</f>
        <v>680540</v>
      </c>
    </row>
    <row r="13" spans="1:13">
      <c r="A13" t="s">
        <v>97</v>
      </c>
      <c r="B13" s="11">
        <f>SUMIF('Sales Data 2024'!C:C, A13, 'Sales Data 2024'!F:F)</f>
        <v>8049</v>
      </c>
      <c r="C13" s="12">
        <f>SUMIF('Sales Data 2024'!C:C, A13, 'Sales Data 2024'!I:I)</f>
        <v>1046370</v>
      </c>
      <c r="D13" s="12">
        <f>SUMIF('Sales Data 2024'!C:C, A13, 'Sales Data 2024'!J:J)</f>
        <v>563430</v>
      </c>
      <c r="E13" s="12">
        <f>SUMIF('Sales Data 2024'!C:C, A13, 'Sales Data 2024'!K:K)</f>
        <v>482940</v>
      </c>
    </row>
    <row r="14" spans="1:13">
      <c r="A14" t="s">
        <v>96</v>
      </c>
      <c r="B14" s="11">
        <f>SUMIF('Sales Data 2024'!C:C, A14, 'Sales Data 2024'!F:F)</f>
        <v>12443</v>
      </c>
      <c r="C14" s="12">
        <f>SUMIF('Sales Data 2024'!C:C, A14, 'Sales Data 2024'!I:I)</f>
        <v>1119870</v>
      </c>
      <c r="D14" s="12">
        <f>SUMIF('Sales Data 2024'!C:C, A14, 'Sales Data 2024'!J:J)</f>
        <v>622150</v>
      </c>
      <c r="E14" s="12">
        <f>SUMIF('Sales Data 2024'!C:C, A14, 'Sales Data 2024'!K:K)</f>
        <v>497720</v>
      </c>
    </row>
    <row r="15" spans="1:13">
      <c r="A15" t="s">
        <v>98</v>
      </c>
      <c r="B15" s="11">
        <f>SUMIF('Sales Data 2024'!C:C, A15, 'Sales Data 2024'!F:F)</f>
        <v>8293</v>
      </c>
      <c r="C15" s="12">
        <f>SUMIF('Sales Data 2024'!C:C, A15, 'Sales Data 2024'!I:I)</f>
        <v>829300</v>
      </c>
      <c r="D15" s="12">
        <f>SUMIF('Sales Data 2024'!C:C, A15, 'Sales Data 2024'!J:J)</f>
        <v>456115</v>
      </c>
      <c r="E15" s="12">
        <f>SUMIF('Sales Data 2024'!C:C, A15, 'Sales Data 2024'!K:K)</f>
        <v>373185</v>
      </c>
    </row>
    <row r="16" spans="1:13">
      <c r="A16" t="s">
        <v>93</v>
      </c>
      <c r="B16" s="11">
        <f>SUMIF('Sales Data 2024'!C:C, A16, 'Sales Data 2024'!F:F)</f>
        <v>19620</v>
      </c>
      <c r="C16" s="12">
        <f>SUMIF('Sales Data 2024'!C:C, A16, 'Sales Data 2024'!I:I)</f>
        <v>1962000</v>
      </c>
      <c r="D16" s="12">
        <f>SUMIF('Sales Data 2024'!C:C, A16, 'Sales Data 2024'!J:J)</f>
        <v>1079100</v>
      </c>
      <c r="E16" s="12">
        <f>SUMIF('Sales Data 2024'!C:C, A16, 'Sales Data 2024'!K:K)</f>
        <v>882900</v>
      </c>
    </row>
    <row r="19" spans="1:2" ht="17.25">
      <c r="A19" s="9" t="s">
        <v>479</v>
      </c>
    </row>
    <row r="20" spans="1:2">
      <c r="A20" s="10" t="s">
        <v>102</v>
      </c>
      <c r="B20" s="10" t="s">
        <v>476</v>
      </c>
    </row>
    <row r="21" spans="1:2">
      <c r="A21" t="s">
        <v>103</v>
      </c>
      <c r="B21" s="12">
        <f>SUMIF('Sales Data 2024'!B:B, A21, 'Sales Data 2024'!I:I)</f>
        <v>2612250</v>
      </c>
    </row>
    <row r="22" spans="1:2">
      <c r="A22" t="s">
        <v>105</v>
      </c>
      <c r="B22" s="12">
        <f>SUMIF('Sales Data 2024'!B:B, A22, 'Sales Data 2024'!I:I)</f>
        <v>1669610</v>
      </c>
    </row>
    <row r="23" spans="1:2">
      <c r="A23" t="s">
        <v>104</v>
      </c>
      <c r="B23" s="12">
        <f>SUMIF('Sales Data 2024'!B:B, A23, 'Sales Data 2024'!I:I)</f>
        <v>1847310</v>
      </c>
    </row>
    <row r="24" spans="1:2">
      <c r="A24" t="s">
        <v>106</v>
      </c>
      <c r="B24" s="12">
        <f>SUMIF('Sales Data 2024'!B:B, A24, 'Sales Data 2024'!I:I)</f>
        <v>1660330</v>
      </c>
    </row>
  </sheetData>
  <mergeCells count="1">
    <mergeCell ref="A1:M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N1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16" customWidth="1"/>
    <col min="5" max="5" width="14" customWidth="1"/>
    <col min="6" max="6" width="11" customWidth="1"/>
    <col min="7" max="8" width="14" customWidth="1"/>
    <col min="9" max="9" width="13" customWidth="1"/>
    <col min="10" max="10" width="11" customWidth="1"/>
    <col min="11" max="11" width="12" customWidth="1"/>
    <col min="12" max="12" width="8" customWidth="1"/>
    <col min="13" max="13" width="9" customWidth="1"/>
    <col min="14" max="14" width="18" customWidth="1"/>
  </cols>
  <sheetData>
    <row r="1" spans="1:14">
      <c r="A1" s="19" t="s">
        <v>126</v>
      </c>
      <c r="B1" s="19" t="s">
        <v>102</v>
      </c>
      <c r="C1" s="19" t="s">
        <v>92</v>
      </c>
      <c r="D1" s="19" t="s">
        <v>109</v>
      </c>
      <c r="E1" s="19" t="s">
        <v>127</v>
      </c>
      <c r="F1" s="19" t="s">
        <v>128</v>
      </c>
      <c r="G1" s="19" t="s">
        <v>129</v>
      </c>
      <c r="H1" s="19" t="s">
        <v>130</v>
      </c>
      <c r="I1" s="19" t="s">
        <v>131</v>
      </c>
      <c r="J1" s="19" t="s">
        <v>132</v>
      </c>
      <c r="K1" s="19" t="s">
        <v>133</v>
      </c>
      <c r="L1" s="19" t="s">
        <v>77</v>
      </c>
      <c r="M1" s="19" t="s">
        <v>114</v>
      </c>
      <c r="N1" s="19" t="s">
        <v>480</v>
      </c>
    </row>
    <row r="2" spans="1:14">
      <c r="A2" s="20">
        <v>45394</v>
      </c>
      <c r="B2" t="s">
        <v>103</v>
      </c>
      <c r="C2" t="s">
        <v>95</v>
      </c>
      <c r="D2" t="s">
        <v>111</v>
      </c>
      <c r="E2">
        <v>38</v>
      </c>
      <c r="F2">
        <v>70</v>
      </c>
      <c r="G2">
        <v>110</v>
      </c>
      <c r="H2">
        <v>60</v>
      </c>
      <c r="I2" s="11">
        <v>7700</v>
      </c>
      <c r="J2" s="11">
        <v>4200</v>
      </c>
      <c r="K2" s="11">
        <v>3500</v>
      </c>
      <c r="L2" t="s">
        <v>81</v>
      </c>
      <c r="M2" t="s">
        <v>116</v>
      </c>
      <c r="N2" t="s">
        <v>125</v>
      </c>
    </row>
    <row r="3" spans="1:14">
      <c r="A3" s="20">
        <v>45413</v>
      </c>
      <c r="B3" t="s">
        <v>103</v>
      </c>
      <c r="C3" t="s">
        <v>94</v>
      </c>
      <c r="D3" t="s">
        <v>112</v>
      </c>
      <c r="E3">
        <v>39</v>
      </c>
      <c r="F3">
        <v>149</v>
      </c>
      <c r="G3">
        <v>80</v>
      </c>
      <c r="H3">
        <v>45</v>
      </c>
      <c r="I3" s="11">
        <v>11920</v>
      </c>
      <c r="J3" s="11">
        <v>6705</v>
      </c>
      <c r="K3" s="11">
        <v>5215</v>
      </c>
      <c r="L3" t="s">
        <v>82</v>
      </c>
      <c r="M3" t="s">
        <v>116</v>
      </c>
      <c r="N3" t="s">
        <v>125</v>
      </c>
    </row>
    <row r="4" spans="1:14">
      <c r="A4" s="20">
        <v>45443</v>
      </c>
      <c r="B4" t="s">
        <v>103</v>
      </c>
      <c r="C4" t="s">
        <v>95</v>
      </c>
      <c r="D4" t="s">
        <v>111</v>
      </c>
      <c r="E4">
        <v>33</v>
      </c>
      <c r="F4">
        <v>87</v>
      </c>
      <c r="G4">
        <v>110</v>
      </c>
      <c r="H4">
        <v>60</v>
      </c>
      <c r="I4" s="11">
        <v>9570</v>
      </c>
      <c r="J4" s="11">
        <v>5220</v>
      </c>
      <c r="K4" s="11">
        <v>4350</v>
      </c>
      <c r="L4" t="s">
        <v>82</v>
      </c>
      <c r="M4" t="s">
        <v>116</v>
      </c>
      <c r="N4" t="s">
        <v>124</v>
      </c>
    </row>
    <row r="5" spans="1:14">
      <c r="A5" s="20">
        <v>45483</v>
      </c>
      <c r="B5" t="s">
        <v>105</v>
      </c>
      <c r="C5" t="s">
        <v>97</v>
      </c>
      <c r="D5" t="s">
        <v>111</v>
      </c>
      <c r="E5">
        <v>28</v>
      </c>
      <c r="F5">
        <v>78</v>
      </c>
      <c r="G5">
        <v>130</v>
      </c>
      <c r="H5">
        <v>70</v>
      </c>
      <c r="I5" s="11">
        <v>10140</v>
      </c>
      <c r="J5" s="11">
        <v>5460</v>
      </c>
      <c r="K5" s="11">
        <v>4680</v>
      </c>
      <c r="L5" t="s">
        <v>84</v>
      </c>
      <c r="M5" t="s">
        <v>117</v>
      </c>
      <c r="N5" t="s">
        <v>123</v>
      </c>
    </row>
    <row r="6" spans="1:14">
      <c r="A6" s="20">
        <v>45655</v>
      </c>
      <c r="B6" t="s">
        <v>104</v>
      </c>
      <c r="C6" t="s">
        <v>96</v>
      </c>
      <c r="D6" t="s">
        <v>110</v>
      </c>
      <c r="E6">
        <v>22</v>
      </c>
      <c r="F6">
        <v>16</v>
      </c>
      <c r="G6">
        <v>90</v>
      </c>
      <c r="H6">
        <v>50</v>
      </c>
      <c r="I6" s="11">
        <v>1440</v>
      </c>
      <c r="J6" s="11">
        <v>800</v>
      </c>
      <c r="K6" s="11">
        <v>640</v>
      </c>
      <c r="L6" t="s">
        <v>89</v>
      </c>
      <c r="M6" t="s">
        <v>118</v>
      </c>
      <c r="N6" t="s">
        <v>122</v>
      </c>
    </row>
    <row r="7" spans="1:14">
      <c r="A7" s="20">
        <v>45620</v>
      </c>
      <c r="B7" t="s">
        <v>106</v>
      </c>
      <c r="C7" t="s">
        <v>94</v>
      </c>
      <c r="D7" t="s">
        <v>112</v>
      </c>
      <c r="E7">
        <v>27</v>
      </c>
      <c r="F7">
        <v>59</v>
      </c>
      <c r="G7">
        <v>80</v>
      </c>
      <c r="H7">
        <v>45</v>
      </c>
      <c r="I7" s="11">
        <v>4720</v>
      </c>
      <c r="J7" s="11">
        <v>2655</v>
      </c>
      <c r="K7" s="11">
        <v>2065</v>
      </c>
      <c r="L7" t="s">
        <v>88</v>
      </c>
      <c r="M7" t="s">
        <v>118</v>
      </c>
      <c r="N7" t="s">
        <v>123</v>
      </c>
    </row>
    <row r="8" spans="1:14">
      <c r="A8" s="20">
        <v>45556</v>
      </c>
      <c r="B8" t="s">
        <v>103</v>
      </c>
      <c r="C8" t="s">
        <v>94</v>
      </c>
      <c r="D8" t="s">
        <v>110</v>
      </c>
      <c r="E8">
        <v>32</v>
      </c>
      <c r="F8">
        <v>89</v>
      </c>
      <c r="G8">
        <v>80</v>
      </c>
      <c r="H8">
        <v>45</v>
      </c>
      <c r="I8" s="11">
        <v>7120</v>
      </c>
      <c r="J8" s="11">
        <v>4005</v>
      </c>
      <c r="K8" s="11">
        <v>3115</v>
      </c>
      <c r="L8" t="s">
        <v>86</v>
      </c>
      <c r="M8" t="s">
        <v>117</v>
      </c>
      <c r="N8" t="s">
        <v>124</v>
      </c>
    </row>
    <row r="9" spans="1:14">
      <c r="A9" s="20">
        <v>45555</v>
      </c>
      <c r="B9" t="s">
        <v>106</v>
      </c>
      <c r="C9" t="s">
        <v>94</v>
      </c>
      <c r="D9" t="s">
        <v>110</v>
      </c>
      <c r="E9">
        <v>27</v>
      </c>
      <c r="F9">
        <v>33</v>
      </c>
      <c r="G9">
        <v>80</v>
      </c>
      <c r="H9">
        <v>45</v>
      </c>
      <c r="I9" s="11">
        <v>2640</v>
      </c>
      <c r="J9" s="11">
        <v>1485</v>
      </c>
      <c r="K9" s="11">
        <v>1155</v>
      </c>
      <c r="L9" t="s">
        <v>86</v>
      </c>
      <c r="M9" t="s">
        <v>117</v>
      </c>
      <c r="N9" t="s">
        <v>123</v>
      </c>
    </row>
    <row r="10" spans="1:14">
      <c r="A10" s="20">
        <v>45345</v>
      </c>
      <c r="B10" t="s">
        <v>103</v>
      </c>
      <c r="C10" t="s">
        <v>96</v>
      </c>
      <c r="D10" t="s">
        <v>112</v>
      </c>
      <c r="E10">
        <v>27</v>
      </c>
      <c r="F10">
        <v>73</v>
      </c>
      <c r="G10">
        <v>90</v>
      </c>
      <c r="H10">
        <v>50</v>
      </c>
      <c r="I10" s="11">
        <v>6570</v>
      </c>
      <c r="J10" s="11">
        <v>3650</v>
      </c>
      <c r="K10" s="11">
        <v>2920</v>
      </c>
      <c r="L10" t="s">
        <v>79</v>
      </c>
      <c r="M10" t="s">
        <v>115</v>
      </c>
      <c r="N10" t="s">
        <v>123</v>
      </c>
    </row>
    <row r="11" spans="1:14">
      <c r="A11" s="20">
        <v>45493</v>
      </c>
      <c r="B11" t="s">
        <v>104</v>
      </c>
      <c r="C11" t="s">
        <v>98</v>
      </c>
      <c r="D11" t="s">
        <v>112</v>
      </c>
      <c r="E11">
        <v>32</v>
      </c>
      <c r="F11">
        <v>101</v>
      </c>
      <c r="G11">
        <v>100</v>
      </c>
      <c r="H11">
        <v>55</v>
      </c>
      <c r="I11" s="11">
        <v>10100</v>
      </c>
      <c r="J11" s="11">
        <v>5555</v>
      </c>
      <c r="K11" s="11">
        <v>4545</v>
      </c>
      <c r="L11" t="s">
        <v>84</v>
      </c>
      <c r="M11" t="s">
        <v>117</v>
      </c>
      <c r="N11" t="s">
        <v>124</v>
      </c>
    </row>
    <row r="12" spans="1:14">
      <c r="A12" s="20">
        <v>45543</v>
      </c>
      <c r="B12" t="s">
        <v>103</v>
      </c>
      <c r="C12" t="s">
        <v>94</v>
      </c>
      <c r="D12" t="s">
        <v>110</v>
      </c>
      <c r="E12">
        <v>33</v>
      </c>
      <c r="F12">
        <v>82</v>
      </c>
      <c r="G12">
        <v>80</v>
      </c>
      <c r="H12">
        <v>45</v>
      </c>
      <c r="I12" s="11">
        <v>6560</v>
      </c>
      <c r="J12" s="11">
        <v>3690</v>
      </c>
      <c r="K12" s="11">
        <v>2870</v>
      </c>
      <c r="L12" t="s">
        <v>86</v>
      </c>
      <c r="M12" t="s">
        <v>117</v>
      </c>
      <c r="N12" t="s">
        <v>124</v>
      </c>
    </row>
    <row r="13" spans="1:14">
      <c r="A13" s="20">
        <v>45508</v>
      </c>
      <c r="B13" t="s">
        <v>104</v>
      </c>
      <c r="C13" t="s">
        <v>93</v>
      </c>
      <c r="D13" t="s">
        <v>110</v>
      </c>
      <c r="E13">
        <v>26</v>
      </c>
      <c r="F13">
        <v>44</v>
      </c>
      <c r="G13">
        <v>100</v>
      </c>
      <c r="H13">
        <v>55</v>
      </c>
      <c r="I13" s="11">
        <v>4400</v>
      </c>
      <c r="J13" s="11">
        <v>2420</v>
      </c>
      <c r="K13" s="11">
        <v>1980</v>
      </c>
      <c r="L13" t="s">
        <v>85</v>
      </c>
      <c r="M13" t="s">
        <v>117</v>
      </c>
      <c r="N13" t="s">
        <v>123</v>
      </c>
    </row>
    <row r="14" spans="1:14">
      <c r="A14" s="20">
        <v>45636</v>
      </c>
      <c r="B14" t="s">
        <v>105</v>
      </c>
      <c r="C14" t="s">
        <v>97</v>
      </c>
      <c r="D14" t="s">
        <v>110</v>
      </c>
      <c r="E14">
        <v>20</v>
      </c>
      <c r="F14">
        <v>33</v>
      </c>
      <c r="G14">
        <v>130</v>
      </c>
      <c r="H14">
        <v>70</v>
      </c>
      <c r="I14" s="11">
        <v>4290</v>
      </c>
      <c r="J14" s="11">
        <v>2310</v>
      </c>
      <c r="K14" s="11">
        <v>1980</v>
      </c>
      <c r="L14" t="s">
        <v>89</v>
      </c>
      <c r="M14" t="s">
        <v>118</v>
      </c>
      <c r="N14" t="s">
        <v>122</v>
      </c>
    </row>
    <row r="15" spans="1:14">
      <c r="A15" s="20">
        <v>45372</v>
      </c>
      <c r="B15" t="s">
        <v>105</v>
      </c>
      <c r="C15" t="s">
        <v>95</v>
      </c>
      <c r="D15" t="s">
        <v>111</v>
      </c>
      <c r="E15">
        <v>38</v>
      </c>
      <c r="F15">
        <v>90</v>
      </c>
      <c r="G15">
        <v>110</v>
      </c>
      <c r="H15">
        <v>60</v>
      </c>
      <c r="I15" s="11">
        <v>9900</v>
      </c>
      <c r="J15" s="11">
        <v>5400</v>
      </c>
      <c r="K15" s="11">
        <v>4500</v>
      </c>
      <c r="L15" t="s">
        <v>80</v>
      </c>
      <c r="M15" t="s">
        <v>115</v>
      </c>
      <c r="N15" t="s">
        <v>125</v>
      </c>
    </row>
    <row r="16" spans="1:14">
      <c r="A16" s="20">
        <v>45492</v>
      </c>
      <c r="B16" t="s">
        <v>103</v>
      </c>
      <c r="C16" t="s">
        <v>96</v>
      </c>
      <c r="D16" t="s">
        <v>110</v>
      </c>
      <c r="E16">
        <v>33</v>
      </c>
      <c r="F16">
        <v>52</v>
      </c>
      <c r="G16">
        <v>90</v>
      </c>
      <c r="H16">
        <v>50</v>
      </c>
      <c r="I16" s="11">
        <v>4680</v>
      </c>
      <c r="J16" s="11">
        <v>2600</v>
      </c>
      <c r="K16" s="11">
        <v>2080</v>
      </c>
      <c r="L16" t="s">
        <v>84</v>
      </c>
      <c r="M16" t="s">
        <v>117</v>
      </c>
      <c r="N16" t="s">
        <v>124</v>
      </c>
    </row>
    <row r="17" spans="1:14">
      <c r="A17" s="20">
        <v>45584</v>
      </c>
      <c r="B17" t="s">
        <v>105</v>
      </c>
      <c r="C17" t="s">
        <v>95</v>
      </c>
      <c r="D17" t="s">
        <v>112</v>
      </c>
      <c r="E17">
        <v>28</v>
      </c>
      <c r="F17">
        <v>94</v>
      </c>
      <c r="G17">
        <v>110</v>
      </c>
      <c r="H17">
        <v>60</v>
      </c>
      <c r="I17" s="11">
        <v>10340</v>
      </c>
      <c r="J17" s="11">
        <v>5640</v>
      </c>
      <c r="K17" s="11">
        <v>4700</v>
      </c>
      <c r="L17" t="s">
        <v>87</v>
      </c>
      <c r="M17" t="s">
        <v>118</v>
      </c>
      <c r="N17" t="s">
        <v>123</v>
      </c>
    </row>
    <row r="18" spans="1:14">
      <c r="A18" s="20">
        <v>45392</v>
      </c>
      <c r="B18" t="s">
        <v>106</v>
      </c>
      <c r="C18" t="s">
        <v>97</v>
      </c>
      <c r="D18" t="s">
        <v>111</v>
      </c>
      <c r="E18">
        <v>38</v>
      </c>
      <c r="F18">
        <v>191</v>
      </c>
      <c r="G18">
        <v>130</v>
      </c>
      <c r="H18">
        <v>70</v>
      </c>
      <c r="I18" s="11">
        <v>24830</v>
      </c>
      <c r="J18" s="11">
        <v>13370</v>
      </c>
      <c r="K18" s="11">
        <v>11460</v>
      </c>
      <c r="L18" t="s">
        <v>81</v>
      </c>
      <c r="M18" t="s">
        <v>116</v>
      </c>
      <c r="N18" t="s">
        <v>125</v>
      </c>
    </row>
    <row r="19" spans="1:14">
      <c r="A19" s="20">
        <v>45574</v>
      </c>
      <c r="B19" t="s">
        <v>104</v>
      </c>
      <c r="C19" t="s">
        <v>96</v>
      </c>
      <c r="D19" t="s">
        <v>110</v>
      </c>
      <c r="E19">
        <v>28</v>
      </c>
      <c r="F19">
        <v>106</v>
      </c>
      <c r="G19">
        <v>90</v>
      </c>
      <c r="H19">
        <v>50</v>
      </c>
      <c r="I19" s="11">
        <v>9540</v>
      </c>
      <c r="J19" s="11">
        <v>5300</v>
      </c>
      <c r="K19" s="11">
        <v>4240</v>
      </c>
      <c r="L19" t="s">
        <v>87</v>
      </c>
      <c r="M19" t="s">
        <v>118</v>
      </c>
      <c r="N19" t="s">
        <v>123</v>
      </c>
    </row>
    <row r="20" spans="1:14">
      <c r="A20" s="20">
        <v>45354</v>
      </c>
      <c r="B20" t="s">
        <v>104</v>
      </c>
      <c r="C20" t="s">
        <v>98</v>
      </c>
      <c r="D20" t="s">
        <v>111</v>
      </c>
      <c r="E20">
        <v>36</v>
      </c>
      <c r="F20">
        <v>181</v>
      </c>
      <c r="G20">
        <v>100</v>
      </c>
      <c r="H20">
        <v>55</v>
      </c>
      <c r="I20" s="11">
        <v>18100</v>
      </c>
      <c r="J20" s="11">
        <v>9955</v>
      </c>
      <c r="K20" s="11">
        <v>8145</v>
      </c>
      <c r="L20" t="s">
        <v>80</v>
      </c>
      <c r="M20" t="s">
        <v>115</v>
      </c>
      <c r="N20" t="s">
        <v>125</v>
      </c>
    </row>
    <row r="21" spans="1:14">
      <c r="A21" s="20">
        <v>45522</v>
      </c>
      <c r="B21" t="s">
        <v>105</v>
      </c>
      <c r="C21" t="s">
        <v>93</v>
      </c>
      <c r="D21" t="s">
        <v>110</v>
      </c>
      <c r="E21">
        <v>32</v>
      </c>
      <c r="F21">
        <v>61</v>
      </c>
      <c r="G21">
        <v>100</v>
      </c>
      <c r="H21">
        <v>55</v>
      </c>
      <c r="I21" s="11">
        <v>6100</v>
      </c>
      <c r="J21" s="11">
        <v>3355</v>
      </c>
      <c r="K21" s="11">
        <v>2745</v>
      </c>
      <c r="L21" t="s">
        <v>85</v>
      </c>
      <c r="M21" t="s">
        <v>117</v>
      </c>
      <c r="N21" t="s">
        <v>124</v>
      </c>
    </row>
    <row r="22" spans="1:14">
      <c r="A22" s="20">
        <v>45478</v>
      </c>
      <c r="B22" t="s">
        <v>106</v>
      </c>
      <c r="C22" t="s">
        <v>95</v>
      </c>
      <c r="D22" t="s">
        <v>111</v>
      </c>
      <c r="E22">
        <v>34</v>
      </c>
      <c r="F22">
        <v>91</v>
      </c>
      <c r="G22">
        <v>110</v>
      </c>
      <c r="H22">
        <v>60</v>
      </c>
      <c r="I22" s="11">
        <v>10010</v>
      </c>
      <c r="J22" s="11">
        <v>5460</v>
      </c>
      <c r="K22" s="11">
        <v>4550</v>
      </c>
      <c r="L22" t="s">
        <v>84</v>
      </c>
      <c r="M22" t="s">
        <v>117</v>
      </c>
      <c r="N22" t="s">
        <v>124</v>
      </c>
    </row>
    <row r="23" spans="1:14">
      <c r="A23" s="20">
        <v>45425</v>
      </c>
      <c r="B23" t="s">
        <v>103</v>
      </c>
      <c r="C23" t="s">
        <v>93</v>
      </c>
      <c r="D23" t="s">
        <v>110</v>
      </c>
      <c r="E23">
        <v>41</v>
      </c>
      <c r="F23">
        <v>124</v>
      </c>
      <c r="G23">
        <v>100</v>
      </c>
      <c r="H23">
        <v>55</v>
      </c>
      <c r="I23" s="11">
        <v>12400</v>
      </c>
      <c r="J23" s="11">
        <v>6820</v>
      </c>
      <c r="K23" s="11">
        <v>5580</v>
      </c>
      <c r="L23" t="s">
        <v>82</v>
      </c>
      <c r="M23" t="s">
        <v>116</v>
      </c>
      <c r="N23" t="s">
        <v>125</v>
      </c>
    </row>
    <row r="24" spans="1:14">
      <c r="A24" s="20">
        <v>45639</v>
      </c>
      <c r="B24" t="s">
        <v>106</v>
      </c>
      <c r="C24" t="s">
        <v>93</v>
      </c>
      <c r="D24" t="s">
        <v>110</v>
      </c>
      <c r="E24">
        <v>26</v>
      </c>
      <c r="F24">
        <v>36</v>
      </c>
      <c r="G24">
        <v>100</v>
      </c>
      <c r="H24">
        <v>55</v>
      </c>
      <c r="I24" s="11">
        <v>3600</v>
      </c>
      <c r="J24" s="11">
        <v>1980</v>
      </c>
      <c r="K24" s="11">
        <v>1620</v>
      </c>
      <c r="L24" t="s">
        <v>89</v>
      </c>
      <c r="M24" t="s">
        <v>118</v>
      </c>
      <c r="N24" t="s">
        <v>123</v>
      </c>
    </row>
    <row r="25" spans="1:14">
      <c r="A25" s="20">
        <v>45407</v>
      </c>
      <c r="B25" t="s">
        <v>103</v>
      </c>
      <c r="C25" t="s">
        <v>93</v>
      </c>
      <c r="D25" t="s">
        <v>110</v>
      </c>
      <c r="E25">
        <v>36</v>
      </c>
      <c r="F25">
        <v>186</v>
      </c>
      <c r="G25">
        <v>100</v>
      </c>
      <c r="H25">
        <v>55</v>
      </c>
      <c r="I25" s="11">
        <v>18600</v>
      </c>
      <c r="J25" s="11">
        <v>10230</v>
      </c>
      <c r="K25" s="11">
        <v>8370</v>
      </c>
      <c r="L25" t="s">
        <v>81</v>
      </c>
      <c r="M25" t="s">
        <v>116</v>
      </c>
      <c r="N25" t="s">
        <v>125</v>
      </c>
    </row>
    <row r="26" spans="1:14">
      <c r="A26" s="20">
        <v>45516</v>
      </c>
      <c r="B26" t="s">
        <v>103</v>
      </c>
      <c r="C26" t="s">
        <v>94</v>
      </c>
      <c r="D26" t="s">
        <v>112</v>
      </c>
      <c r="E26">
        <v>33</v>
      </c>
      <c r="F26">
        <v>61</v>
      </c>
      <c r="G26">
        <v>80</v>
      </c>
      <c r="H26">
        <v>45</v>
      </c>
      <c r="I26" s="11">
        <v>4880</v>
      </c>
      <c r="J26" s="11">
        <v>2745</v>
      </c>
      <c r="K26" s="11">
        <v>2135</v>
      </c>
      <c r="L26" t="s">
        <v>85</v>
      </c>
      <c r="M26" t="s">
        <v>117</v>
      </c>
      <c r="N26" t="s">
        <v>124</v>
      </c>
    </row>
    <row r="27" spans="1:14">
      <c r="A27" s="20">
        <v>45524</v>
      </c>
      <c r="B27" t="s">
        <v>103</v>
      </c>
      <c r="C27" t="s">
        <v>93</v>
      </c>
      <c r="D27" t="s">
        <v>110</v>
      </c>
      <c r="E27">
        <v>32</v>
      </c>
      <c r="F27">
        <v>41</v>
      </c>
      <c r="G27">
        <v>100</v>
      </c>
      <c r="H27">
        <v>55</v>
      </c>
      <c r="I27" s="11">
        <v>4100</v>
      </c>
      <c r="J27" s="11">
        <v>2255</v>
      </c>
      <c r="K27" s="11">
        <v>1845</v>
      </c>
      <c r="L27" t="s">
        <v>85</v>
      </c>
      <c r="M27" t="s">
        <v>117</v>
      </c>
      <c r="N27" t="s">
        <v>124</v>
      </c>
    </row>
    <row r="28" spans="1:14">
      <c r="A28" s="20">
        <v>45404</v>
      </c>
      <c r="B28" t="s">
        <v>106</v>
      </c>
      <c r="C28" t="s">
        <v>94</v>
      </c>
      <c r="D28" t="s">
        <v>110</v>
      </c>
      <c r="E28">
        <v>33</v>
      </c>
      <c r="F28">
        <v>51</v>
      </c>
      <c r="G28">
        <v>80</v>
      </c>
      <c r="H28">
        <v>45</v>
      </c>
      <c r="I28" s="11">
        <v>4080</v>
      </c>
      <c r="J28" s="11">
        <v>2295</v>
      </c>
      <c r="K28" s="11">
        <v>1785</v>
      </c>
      <c r="L28" t="s">
        <v>81</v>
      </c>
      <c r="M28" t="s">
        <v>116</v>
      </c>
      <c r="N28" t="s">
        <v>124</v>
      </c>
    </row>
    <row r="29" spans="1:14">
      <c r="A29" s="20">
        <v>45511</v>
      </c>
      <c r="B29" t="s">
        <v>103</v>
      </c>
      <c r="C29" t="s">
        <v>94</v>
      </c>
      <c r="D29" t="s">
        <v>112</v>
      </c>
      <c r="E29">
        <v>27</v>
      </c>
      <c r="F29">
        <v>48</v>
      </c>
      <c r="G29">
        <v>80</v>
      </c>
      <c r="H29">
        <v>45</v>
      </c>
      <c r="I29" s="11">
        <v>3840</v>
      </c>
      <c r="J29" s="11">
        <v>2160</v>
      </c>
      <c r="K29" s="11">
        <v>1680</v>
      </c>
      <c r="L29" t="s">
        <v>85</v>
      </c>
      <c r="M29" t="s">
        <v>117</v>
      </c>
      <c r="N29" t="s">
        <v>123</v>
      </c>
    </row>
    <row r="30" spans="1:14">
      <c r="A30" s="20">
        <v>45344</v>
      </c>
      <c r="B30" t="s">
        <v>106</v>
      </c>
      <c r="C30" t="s">
        <v>93</v>
      </c>
      <c r="D30" t="s">
        <v>110</v>
      </c>
      <c r="E30">
        <v>32</v>
      </c>
      <c r="F30">
        <v>97</v>
      </c>
      <c r="G30">
        <v>100</v>
      </c>
      <c r="H30">
        <v>55</v>
      </c>
      <c r="I30" s="11">
        <v>9700</v>
      </c>
      <c r="J30" s="11">
        <v>5335</v>
      </c>
      <c r="K30" s="11">
        <v>4365</v>
      </c>
      <c r="L30" t="s">
        <v>79</v>
      </c>
      <c r="M30" t="s">
        <v>115</v>
      </c>
      <c r="N30" t="s">
        <v>124</v>
      </c>
    </row>
    <row r="31" spans="1:14">
      <c r="A31" s="20">
        <v>45494</v>
      </c>
      <c r="B31" t="s">
        <v>103</v>
      </c>
      <c r="C31" t="s">
        <v>93</v>
      </c>
      <c r="D31" t="s">
        <v>111</v>
      </c>
      <c r="E31">
        <v>29</v>
      </c>
      <c r="F31">
        <v>98</v>
      </c>
      <c r="G31">
        <v>100</v>
      </c>
      <c r="H31">
        <v>55</v>
      </c>
      <c r="I31" s="11">
        <v>9800</v>
      </c>
      <c r="J31" s="11">
        <v>5390</v>
      </c>
      <c r="K31" s="11">
        <v>4410</v>
      </c>
      <c r="L31" t="s">
        <v>84</v>
      </c>
      <c r="M31" t="s">
        <v>117</v>
      </c>
      <c r="N31" t="s">
        <v>123</v>
      </c>
    </row>
    <row r="32" spans="1:14">
      <c r="A32" s="20">
        <v>45389</v>
      </c>
      <c r="B32" t="s">
        <v>104</v>
      </c>
      <c r="C32" t="s">
        <v>96</v>
      </c>
      <c r="D32" t="s">
        <v>110</v>
      </c>
      <c r="E32">
        <v>40</v>
      </c>
      <c r="F32">
        <v>146</v>
      </c>
      <c r="G32">
        <v>90</v>
      </c>
      <c r="H32">
        <v>50</v>
      </c>
      <c r="I32" s="11">
        <v>13140</v>
      </c>
      <c r="J32" s="11">
        <v>7300</v>
      </c>
      <c r="K32" s="11">
        <v>5840</v>
      </c>
      <c r="L32" t="s">
        <v>81</v>
      </c>
      <c r="M32" t="s">
        <v>116</v>
      </c>
      <c r="N32" t="s">
        <v>125</v>
      </c>
    </row>
    <row r="33" spans="1:14">
      <c r="A33" s="20">
        <v>45415</v>
      </c>
      <c r="B33" t="s">
        <v>105</v>
      </c>
      <c r="C33" t="s">
        <v>96</v>
      </c>
      <c r="D33" t="s">
        <v>112</v>
      </c>
      <c r="E33">
        <v>41</v>
      </c>
      <c r="F33">
        <v>196</v>
      </c>
      <c r="G33">
        <v>90</v>
      </c>
      <c r="H33">
        <v>50</v>
      </c>
      <c r="I33" s="11">
        <v>17640</v>
      </c>
      <c r="J33" s="11">
        <v>9800</v>
      </c>
      <c r="K33" s="11">
        <v>7840</v>
      </c>
      <c r="L33" t="s">
        <v>82</v>
      </c>
      <c r="M33" t="s">
        <v>116</v>
      </c>
      <c r="N33" t="s">
        <v>125</v>
      </c>
    </row>
    <row r="34" spans="1:14">
      <c r="A34" s="20">
        <v>45438</v>
      </c>
      <c r="B34" t="s">
        <v>103</v>
      </c>
      <c r="C34" t="s">
        <v>93</v>
      </c>
      <c r="D34" t="s">
        <v>112</v>
      </c>
      <c r="E34">
        <v>38</v>
      </c>
      <c r="F34">
        <v>177</v>
      </c>
      <c r="G34">
        <v>100</v>
      </c>
      <c r="H34">
        <v>55</v>
      </c>
      <c r="I34" s="11">
        <v>17700</v>
      </c>
      <c r="J34" s="11">
        <v>9735</v>
      </c>
      <c r="K34" s="11">
        <v>7965</v>
      </c>
      <c r="L34" t="s">
        <v>82</v>
      </c>
      <c r="M34" t="s">
        <v>116</v>
      </c>
      <c r="N34" t="s">
        <v>125</v>
      </c>
    </row>
    <row r="35" spans="1:14">
      <c r="A35" s="20">
        <v>45629</v>
      </c>
      <c r="B35" t="s">
        <v>105</v>
      </c>
      <c r="C35" t="s">
        <v>98</v>
      </c>
      <c r="D35" t="s">
        <v>111</v>
      </c>
      <c r="E35">
        <v>24</v>
      </c>
      <c r="F35">
        <v>59</v>
      </c>
      <c r="G35">
        <v>100</v>
      </c>
      <c r="H35">
        <v>55</v>
      </c>
      <c r="I35" s="11">
        <v>5900</v>
      </c>
      <c r="J35" s="11">
        <v>3245</v>
      </c>
      <c r="K35" s="11">
        <v>2655</v>
      </c>
      <c r="L35" t="s">
        <v>89</v>
      </c>
      <c r="M35" t="s">
        <v>118</v>
      </c>
      <c r="N35" t="s">
        <v>122</v>
      </c>
    </row>
    <row r="36" spans="1:14">
      <c r="A36" s="20">
        <v>45589</v>
      </c>
      <c r="B36" t="s">
        <v>105</v>
      </c>
      <c r="C36" t="s">
        <v>93</v>
      </c>
      <c r="D36" t="s">
        <v>111</v>
      </c>
      <c r="E36">
        <v>26</v>
      </c>
      <c r="F36">
        <v>89</v>
      </c>
      <c r="G36">
        <v>100</v>
      </c>
      <c r="H36">
        <v>55</v>
      </c>
      <c r="I36" s="11">
        <v>8900</v>
      </c>
      <c r="J36" s="11">
        <v>4895</v>
      </c>
      <c r="K36" s="11">
        <v>4005</v>
      </c>
      <c r="L36" t="s">
        <v>87</v>
      </c>
      <c r="M36" t="s">
        <v>118</v>
      </c>
      <c r="N36" t="s">
        <v>123</v>
      </c>
    </row>
    <row r="37" spans="1:14">
      <c r="A37" s="20">
        <v>45293</v>
      </c>
      <c r="B37" t="s">
        <v>106</v>
      </c>
      <c r="C37" t="s">
        <v>97</v>
      </c>
      <c r="D37" t="s">
        <v>111</v>
      </c>
      <c r="E37">
        <v>24</v>
      </c>
      <c r="F37">
        <v>41</v>
      </c>
      <c r="G37">
        <v>130</v>
      </c>
      <c r="H37">
        <v>70</v>
      </c>
      <c r="I37" s="11">
        <v>5330</v>
      </c>
      <c r="J37" s="11">
        <v>2870</v>
      </c>
      <c r="K37" s="11">
        <v>2460</v>
      </c>
      <c r="L37" t="s">
        <v>78</v>
      </c>
      <c r="M37" t="s">
        <v>115</v>
      </c>
      <c r="N37" t="s">
        <v>122</v>
      </c>
    </row>
    <row r="38" spans="1:14">
      <c r="A38" s="20">
        <v>45300</v>
      </c>
      <c r="B38" t="s">
        <v>105</v>
      </c>
      <c r="C38" t="s">
        <v>93</v>
      </c>
      <c r="D38" t="s">
        <v>111</v>
      </c>
      <c r="E38">
        <v>25</v>
      </c>
      <c r="F38">
        <v>29</v>
      </c>
      <c r="G38">
        <v>100</v>
      </c>
      <c r="H38">
        <v>55</v>
      </c>
      <c r="I38" s="11">
        <v>2900</v>
      </c>
      <c r="J38" s="11">
        <v>1595</v>
      </c>
      <c r="K38" s="11">
        <v>1305</v>
      </c>
      <c r="L38" t="s">
        <v>78</v>
      </c>
      <c r="M38" t="s">
        <v>115</v>
      </c>
      <c r="N38" t="s">
        <v>123</v>
      </c>
    </row>
    <row r="39" spans="1:14">
      <c r="A39" s="20">
        <v>45345</v>
      </c>
      <c r="B39" t="s">
        <v>105</v>
      </c>
      <c r="C39" t="s">
        <v>95</v>
      </c>
      <c r="D39" t="s">
        <v>110</v>
      </c>
      <c r="E39">
        <v>29</v>
      </c>
      <c r="F39">
        <v>101</v>
      </c>
      <c r="G39">
        <v>110</v>
      </c>
      <c r="H39">
        <v>60</v>
      </c>
      <c r="I39" s="11">
        <v>11110</v>
      </c>
      <c r="J39" s="11">
        <v>6060</v>
      </c>
      <c r="K39" s="11">
        <v>5050</v>
      </c>
      <c r="L39" t="s">
        <v>79</v>
      </c>
      <c r="M39" t="s">
        <v>115</v>
      </c>
      <c r="N39" t="s">
        <v>123</v>
      </c>
    </row>
    <row r="40" spans="1:14">
      <c r="A40" s="20">
        <v>45395</v>
      </c>
      <c r="B40" t="s">
        <v>103</v>
      </c>
      <c r="C40" t="s">
        <v>96</v>
      </c>
      <c r="D40" t="s">
        <v>110</v>
      </c>
      <c r="E40">
        <v>40</v>
      </c>
      <c r="F40">
        <v>148</v>
      </c>
      <c r="G40">
        <v>90</v>
      </c>
      <c r="H40">
        <v>50</v>
      </c>
      <c r="I40" s="11">
        <v>13320</v>
      </c>
      <c r="J40" s="11">
        <v>7400</v>
      </c>
      <c r="K40" s="11">
        <v>5920</v>
      </c>
      <c r="L40" t="s">
        <v>81</v>
      </c>
      <c r="M40" t="s">
        <v>116</v>
      </c>
      <c r="N40" t="s">
        <v>125</v>
      </c>
    </row>
    <row r="41" spans="1:14">
      <c r="A41" s="20">
        <v>45640</v>
      </c>
      <c r="B41" t="s">
        <v>103</v>
      </c>
      <c r="C41" t="s">
        <v>93</v>
      </c>
      <c r="D41" t="s">
        <v>110</v>
      </c>
      <c r="E41">
        <v>26</v>
      </c>
      <c r="F41">
        <v>44</v>
      </c>
      <c r="G41">
        <v>100</v>
      </c>
      <c r="H41">
        <v>55</v>
      </c>
      <c r="I41" s="11">
        <v>4400</v>
      </c>
      <c r="J41" s="11">
        <v>2420</v>
      </c>
      <c r="K41" s="11">
        <v>1980</v>
      </c>
      <c r="L41" t="s">
        <v>89</v>
      </c>
      <c r="M41" t="s">
        <v>118</v>
      </c>
      <c r="N41" t="s">
        <v>123</v>
      </c>
    </row>
    <row r="42" spans="1:14">
      <c r="A42" s="20">
        <v>45452</v>
      </c>
      <c r="B42" t="s">
        <v>104</v>
      </c>
      <c r="C42" t="s">
        <v>94</v>
      </c>
      <c r="D42" t="s">
        <v>110</v>
      </c>
      <c r="E42">
        <v>39</v>
      </c>
      <c r="F42">
        <v>177</v>
      </c>
      <c r="G42">
        <v>80</v>
      </c>
      <c r="H42">
        <v>45</v>
      </c>
      <c r="I42" s="11">
        <v>14160</v>
      </c>
      <c r="J42" s="11">
        <v>7965</v>
      </c>
      <c r="K42" s="11">
        <v>6195</v>
      </c>
      <c r="L42" t="s">
        <v>83</v>
      </c>
      <c r="M42" t="s">
        <v>116</v>
      </c>
      <c r="N42" t="s">
        <v>125</v>
      </c>
    </row>
    <row r="43" spans="1:14">
      <c r="A43" s="20">
        <v>45426</v>
      </c>
      <c r="B43" t="s">
        <v>103</v>
      </c>
      <c r="C43" t="s">
        <v>95</v>
      </c>
      <c r="D43" t="s">
        <v>111</v>
      </c>
      <c r="E43">
        <v>37</v>
      </c>
      <c r="F43">
        <v>164</v>
      </c>
      <c r="G43">
        <v>110</v>
      </c>
      <c r="H43">
        <v>60</v>
      </c>
      <c r="I43" s="11">
        <v>18040</v>
      </c>
      <c r="J43" s="11">
        <v>9840</v>
      </c>
      <c r="K43" s="11">
        <v>8200</v>
      </c>
      <c r="L43" t="s">
        <v>82</v>
      </c>
      <c r="M43" t="s">
        <v>116</v>
      </c>
      <c r="N43" t="s">
        <v>125</v>
      </c>
    </row>
    <row r="44" spans="1:14">
      <c r="A44" s="20">
        <v>45313</v>
      </c>
      <c r="B44" t="s">
        <v>106</v>
      </c>
      <c r="C44" t="s">
        <v>94</v>
      </c>
      <c r="D44" t="s">
        <v>110</v>
      </c>
      <c r="E44">
        <v>19</v>
      </c>
      <c r="F44">
        <v>17</v>
      </c>
      <c r="G44">
        <v>80</v>
      </c>
      <c r="H44">
        <v>45</v>
      </c>
      <c r="I44" s="11">
        <v>1360</v>
      </c>
      <c r="J44" s="11">
        <v>765</v>
      </c>
      <c r="K44" s="11">
        <v>595</v>
      </c>
      <c r="L44" t="s">
        <v>78</v>
      </c>
      <c r="M44" t="s">
        <v>115</v>
      </c>
      <c r="N44" t="s">
        <v>122</v>
      </c>
    </row>
    <row r="45" spans="1:14">
      <c r="A45" s="20">
        <v>45568</v>
      </c>
      <c r="B45" t="s">
        <v>104</v>
      </c>
      <c r="C45" t="s">
        <v>96</v>
      </c>
      <c r="D45" t="s">
        <v>110</v>
      </c>
      <c r="E45">
        <v>28</v>
      </c>
      <c r="F45">
        <v>98</v>
      </c>
      <c r="G45">
        <v>90</v>
      </c>
      <c r="H45">
        <v>50</v>
      </c>
      <c r="I45" s="11">
        <v>8820</v>
      </c>
      <c r="J45" s="11">
        <v>4900</v>
      </c>
      <c r="K45" s="11">
        <v>3920</v>
      </c>
      <c r="L45" t="s">
        <v>87</v>
      </c>
      <c r="M45" t="s">
        <v>118</v>
      </c>
      <c r="N45" t="s">
        <v>123</v>
      </c>
    </row>
    <row r="46" spans="1:14">
      <c r="A46" s="20">
        <v>45295</v>
      </c>
      <c r="B46" t="s">
        <v>105</v>
      </c>
      <c r="C46" t="s">
        <v>94</v>
      </c>
      <c r="D46" t="s">
        <v>110</v>
      </c>
      <c r="E46">
        <v>22</v>
      </c>
      <c r="F46">
        <v>37</v>
      </c>
      <c r="G46">
        <v>80</v>
      </c>
      <c r="H46">
        <v>45</v>
      </c>
      <c r="I46" s="11">
        <v>2960</v>
      </c>
      <c r="J46" s="11">
        <v>1665</v>
      </c>
      <c r="K46" s="11">
        <v>1295</v>
      </c>
      <c r="L46" t="s">
        <v>78</v>
      </c>
      <c r="M46" t="s">
        <v>115</v>
      </c>
      <c r="N46" t="s">
        <v>122</v>
      </c>
    </row>
    <row r="47" spans="1:14">
      <c r="A47" s="20">
        <v>45297</v>
      </c>
      <c r="B47" t="s">
        <v>103</v>
      </c>
      <c r="C47" t="s">
        <v>93</v>
      </c>
      <c r="D47" t="s">
        <v>112</v>
      </c>
      <c r="E47">
        <v>22</v>
      </c>
      <c r="F47">
        <v>58</v>
      </c>
      <c r="G47">
        <v>100</v>
      </c>
      <c r="H47">
        <v>55</v>
      </c>
      <c r="I47" s="11">
        <v>5800</v>
      </c>
      <c r="J47" s="11">
        <v>3190</v>
      </c>
      <c r="K47" s="11">
        <v>2610</v>
      </c>
      <c r="L47" t="s">
        <v>78</v>
      </c>
      <c r="M47" t="s">
        <v>115</v>
      </c>
      <c r="N47" t="s">
        <v>122</v>
      </c>
    </row>
    <row r="48" spans="1:14">
      <c r="A48" s="20">
        <v>45386</v>
      </c>
      <c r="B48" t="s">
        <v>106</v>
      </c>
      <c r="C48" t="s">
        <v>97</v>
      </c>
      <c r="D48" t="s">
        <v>110</v>
      </c>
      <c r="E48">
        <v>33</v>
      </c>
      <c r="F48">
        <v>116</v>
      </c>
      <c r="G48">
        <v>130</v>
      </c>
      <c r="H48">
        <v>70</v>
      </c>
      <c r="I48" s="11">
        <v>15080</v>
      </c>
      <c r="J48" s="11">
        <v>8120</v>
      </c>
      <c r="K48" s="11">
        <v>6960</v>
      </c>
      <c r="L48" t="s">
        <v>81</v>
      </c>
      <c r="M48" t="s">
        <v>116</v>
      </c>
      <c r="N48" t="s">
        <v>124</v>
      </c>
    </row>
    <row r="49" spans="1:14">
      <c r="A49" s="20">
        <v>45572</v>
      </c>
      <c r="B49" t="s">
        <v>106</v>
      </c>
      <c r="C49" t="s">
        <v>93</v>
      </c>
      <c r="D49" t="s">
        <v>112</v>
      </c>
      <c r="E49">
        <v>33</v>
      </c>
      <c r="F49">
        <v>75</v>
      </c>
      <c r="G49">
        <v>100</v>
      </c>
      <c r="H49">
        <v>55</v>
      </c>
      <c r="I49" s="11">
        <v>7500</v>
      </c>
      <c r="J49" s="11">
        <v>4125</v>
      </c>
      <c r="K49" s="11">
        <v>3375</v>
      </c>
      <c r="L49" t="s">
        <v>87</v>
      </c>
      <c r="M49" t="s">
        <v>118</v>
      </c>
      <c r="N49" t="s">
        <v>124</v>
      </c>
    </row>
    <row r="50" spans="1:14">
      <c r="A50" s="20">
        <v>45405</v>
      </c>
      <c r="B50" t="s">
        <v>106</v>
      </c>
      <c r="C50" t="s">
        <v>96</v>
      </c>
      <c r="D50" t="s">
        <v>110</v>
      </c>
      <c r="E50">
        <v>41</v>
      </c>
      <c r="F50">
        <v>179</v>
      </c>
      <c r="G50">
        <v>90</v>
      </c>
      <c r="H50">
        <v>50</v>
      </c>
      <c r="I50" s="11">
        <v>16110</v>
      </c>
      <c r="J50" s="11">
        <v>8950</v>
      </c>
      <c r="K50" s="11">
        <v>7160</v>
      </c>
      <c r="L50" t="s">
        <v>81</v>
      </c>
      <c r="M50" t="s">
        <v>116</v>
      </c>
      <c r="N50" t="s">
        <v>125</v>
      </c>
    </row>
    <row r="51" spans="1:14">
      <c r="A51" s="20">
        <v>45564</v>
      </c>
      <c r="B51" t="s">
        <v>103</v>
      </c>
      <c r="C51" t="s">
        <v>98</v>
      </c>
      <c r="D51" t="s">
        <v>111</v>
      </c>
      <c r="E51">
        <v>32</v>
      </c>
      <c r="F51">
        <v>68</v>
      </c>
      <c r="G51">
        <v>100</v>
      </c>
      <c r="H51">
        <v>55</v>
      </c>
      <c r="I51" s="11">
        <v>6800</v>
      </c>
      <c r="J51" s="11">
        <v>3740</v>
      </c>
      <c r="K51" s="11">
        <v>3060</v>
      </c>
      <c r="L51" t="s">
        <v>86</v>
      </c>
      <c r="M51" t="s">
        <v>117</v>
      </c>
      <c r="N51" t="s">
        <v>124</v>
      </c>
    </row>
    <row r="52" spans="1:14">
      <c r="A52" s="20">
        <v>45317</v>
      </c>
      <c r="B52" t="s">
        <v>106</v>
      </c>
      <c r="C52" t="s">
        <v>98</v>
      </c>
      <c r="D52" t="s">
        <v>112</v>
      </c>
      <c r="E52">
        <v>26</v>
      </c>
      <c r="F52">
        <v>16</v>
      </c>
      <c r="G52">
        <v>100</v>
      </c>
      <c r="H52">
        <v>55</v>
      </c>
      <c r="I52" s="11">
        <v>1600</v>
      </c>
      <c r="J52" s="11">
        <v>880</v>
      </c>
      <c r="K52" s="11">
        <v>720</v>
      </c>
      <c r="L52" t="s">
        <v>78</v>
      </c>
      <c r="M52" t="s">
        <v>115</v>
      </c>
      <c r="N52" t="s">
        <v>123</v>
      </c>
    </row>
    <row r="53" spans="1:14">
      <c r="A53" s="20">
        <v>45327</v>
      </c>
      <c r="B53" t="s">
        <v>105</v>
      </c>
      <c r="C53" t="s">
        <v>95</v>
      </c>
      <c r="D53" t="s">
        <v>111</v>
      </c>
      <c r="E53">
        <v>28</v>
      </c>
      <c r="F53">
        <v>45</v>
      </c>
      <c r="G53">
        <v>110</v>
      </c>
      <c r="H53">
        <v>60</v>
      </c>
      <c r="I53" s="11">
        <v>4950</v>
      </c>
      <c r="J53" s="11">
        <v>2700</v>
      </c>
      <c r="K53" s="11">
        <v>2250</v>
      </c>
      <c r="L53" t="s">
        <v>79</v>
      </c>
      <c r="M53" t="s">
        <v>115</v>
      </c>
      <c r="N53" t="s">
        <v>123</v>
      </c>
    </row>
    <row r="54" spans="1:14">
      <c r="A54" s="20">
        <v>45434</v>
      </c>
      <c r="B54" t="s">
        <v>103</v>
      </c>
      <c r="C54" t="s">
        <v>93</v>
      </c>
      <c r="D54" t="s">
        <v>111</v>
      </c>
      <c r="E54">
        <v>34</v>
      </c>
      <c r="F54">
        <v>135</v>
      </c>
      <c r="G54">
        <v>100</v>
      </c>
      <c r="H54">
        <v>55</v>
      </c>
      <c r="I54" s="11">
        <v>13500</v>
      </c>
      <c r="J54" s="11">
        <v>7425</v>
      </c>
      <c r="K54" s="11">
        <v>6075</v>
      </c>
      <c r="L54" t="s">
        <v>82</v>
      </c>
      <c r="M54" t="s">
        <v>116</v>
      </c>
      <c r="N54" t="s">
        <v>124</v>
      </c>
    </row>
    <row r="55" spans="1:14">
      <c r="A55" s="20">
        <v>45444</v>
      </c>
      <c r="B55" t="s">
        <v>106</v>
      </c>
      <c r="C55" t="s">
        <v>94</v>
      </c>
      <c r="D55" t="s">
        <v>111</v>
      </c>
      <c r="E55">
        <v>37</v>
      </c>
      <c r="F55">
        <v>107</v>
      </c>
      <c r="G55">
        <v>80</v>
      </c>
      <c r="H55">
        <v>45</v>
      </c>
      <c r="I55" s="11">
        <v>8560</v>
      </c>
      <c r="J55" s="11">
        <v>4815</v>
      </c>
      <c r="K55" s="11">
        <v>3745</v>
      </c>
      <c r="L55" t="s">
        <v>83</v>
      </c>
      <c r="M55" t="s">
        <v>116</v>
      </c>
      <c r="N55" t="s">
        <v>125</v>
      </c>
    </row>
    <row r="56" spans="1:14">
      <c r="A56" s="20">
        <v>45596</v>
      </c>
      <c r="B56" t="s">
        <v>106</v>
      </c>
      <c r="C56" t="s">
        <v>94</v>
      </c>
      <c r="D56" t="s">
        <v>110</v>
      </c>
      <c r="E56">
        <v>30</v>
      </c>
      <c r="F56">
        <v>89</v>
      </c>
      <c r="G56">
        <v>80</v>
      </c>
      <c r="H56">
        <v>45</v>
      </c>
      <c r="I56" s="11">
        <v>7120</v>
      </c>
      <c r="J56" s="11">
        <v>4005</v>
      </c>
      <c r="K56" s="11">
        <v>3115</v>
      </c>
      <c r="L56" t="s">
        <v>87</v>
      </c>
      <c r="M56" t="s">
        <v>118</v>
      </c>
      <c r="N56" t="s">
        <v>123</v>
      </c>
    </row>
    <row r="57" spans="1:14">
      <c r="A57" s="20">
        <v>45555</v>
      </c>
      <c r="B57" t="s">
        <v>103</v>
      </c>
      <c r="C57" t="s">
        <v>95</v>
      </c>
      <c r="D57" t="s">
        <v>111</v>
      </c>
      <c r="E57">
        <v>31</v>
      </c>
      <c r="F57">
        <v>97</v>
      </c>
      <c r="G57">
        <v>110</v>
      </c>
      <c r="H57">
        <v>60</v>
      </c>
      <c r="I57" s="11">
        <v>10670</v>
      </c>
      <c r="J57" s="11">
        <v>5820</v>
      </c>
      <c r="K57" s="11">
        <v>4850</v>
      </c>
      <c r="L57" t="s">
        <v>86</v>
      </c>
      <c r="M57" t="s">
        <v>117</v>
      </c>
      <c r="N57" t="s">
        <v>124</v>
      </c>
    </row>
    <row r="58" spans="1:14">
      <c r="A58" s="20">
        <v>45656</v>
      </c>
      <c r="B58" t="s">
        <v>104</v>
      </c>
      <c r="C58" t="s">
        <v>94</v>
      </c>
      <c r="D58" t="s">
        <v>111</v>
      </c>
      <c r="E58">
        <v>21</v>
      </c>
      <c r="F58">
        <v>49</v>
      </c>
      <c r="G58">
        <v>80</v>
      </c>
      <c r="H58">
        <v>45</v>
      </c>
      <c r="I58" s="11">
        <v>3920</v>
      </c>
      <c r="J58" s="11">
        <v>2205</v>
      </c>
      <c r="K58" s="11">
        <v>1715</v>
      </c>
      <c r="L58" t="s">
        <v>89</v>
      </c>
      <c r="M58" t="s">
        <v>118</v>
      </c>
      <c r="N58" t="s">
        <v>122</v>
      </c>
    </row>
    <row r="59" spans="1:14">
      <c r="A59" s="20">
        <v>45435</v>
      </c>
      <c r="B59" t="s">
        <v>104</v>
      </c>
      <c r="C59" t="s">
        <v>97</v>
      </c>
      <c r="D59" t="s">
        <v>110</v>
      </c>
      <c r="E59">
        <v>39</v>
      </c>
      <c r="F59">
        <v>194</v>
      </c>
      <c r="G59">
        <v>130</v>
      </c>
      <c r="H59">
        <v>70</v>
      </c>
      <c r="I59" s="11">
        <v>25220</v>
      </c>
      <c r="J59" s="11">
        <v>13580</v>
      </c>
      <c r="K59" s="11">
        <v>11640</v>
      </c>
      <c r="L59" t="s">
        <v>82</v>
      </c>
      <c r="M59" t="s">
        <v>116</v>
      </c>
      <c r="N59" t="s">
        <v>125</v>
      </c>
    </row>
    <row r="60" spans="1:14">
      <c r="A60" s="20">
        <v>45610</v>
      </c>
      <c r="B60" t="s">
        <v>105</v>
      </c>
      <c r="C60" t="s">
        <v>93</v>
      </c>
      <c r="D60" t="s">
        <v>110</v>
      </c>
      <c r="E60">
        <v>22</v>
      </c>
      <c r="F60">
        <v>35</v>
      </c>
      <c r="G60">
        <v>100</v>
      </c>
      <c r="H60">
        <v>55</v>
      </c>
      <c r="I60" s="11">
        <v>3500</v>
      </c>
      <c r="J60" s="11">
        <v>1925</v>
      </c>
      <c r="K60" s="11">
        <v>1575</v>
      </c>
      <c r="L60" t="s">
        <v>88</v>
      </c>
      <c r="M60" t="s">
        <v>118</v>
      </c>
      <c r="N60" t="s">
        <v>122</v>
      </c>
    </row>
    <row r="61" spans="1:14">
      <c r="A61" s="20">
        <v>45609</v>
      </c>
      <c r="B61" t="s">
        <v>105</v>
      </c>
      <c r="C61" t="s">
        <v>98</v>
      </c>
      <c r="D61" t="s">
        <v>110</v>
      </c>
      <c r="E61">
        <v>19</v>
      </c>
      <c r="F61">
        <v>10</v>
      </c>
      <c r="G61">
        <v>100</v>
      </c>
      <c r="H61">
        <v>55</v>
      </c>
      <c r="I61" s="11">
        <v>1000</v>
      </c>
      <c r="J61" s="11">
        <v>550</v>
      </c>
      <c r="K61" s="11">
        <v>450</v>
      </c>
      <c r="L61" t="s">
        <v>88</v>
      </c>
      <c r="M61" t="s">
        <v>118</v>
      </c>
      <c r="N61" t="s">
        <v>122</v>
      </c>
    </row>
    <row r="62" spans="1:14">
      <c r="A62" s="20">
        <v>45387</v>
      </c>
      <c r="B62" t="s">
        <v>105</v>
      </c>
      <c r="C62" t="s">
        <v>96</v>
      </c>
      <c r="D62" t="s">
        <v>111</v>
      </c>
      <c r="E62">
        <v>32</v>
      </c>
      <c r="F62">
        <v>166</v>
      </c>
      <c r="G62">
        <v>90</v>
      </c>
      <c r="H62">
        <v>50</v>
      </c>
      <c r="I62" s="11">
        <v>14940</v>
      </c>
      <c r="J62" s="11">
        <v>8300</v>
      </c>
      <c r="K62" s="11">
        <v>6640</v>
      </c>
      <c r="L62" t="s">
        <v>81</v>
      </c>
      <c r="M62" t="s">
        <v>116</v>
      </c>
      <c r="N62" t="s">
        <v>124</v>
      </c>
    </row>
    <row r="63" spans="1:14">
      <c r="A63" s="20">
        <v>45563</v>
      </c>
      <c r="B63" t="s">
        <v>105</v>
      </c>
      <c r="C63" t="s">
        <v>96</v>
      </c>
      <c r="D63" t="s">
        <v>110</v>
      </c>
      <c r="E63">
        <v>28</v>
      </c>
      <c r="F63">
        <v>96</v>
      </c>
      <c r="G63">
        <v>90</v>
      </c>
      <c r="H63">
        <v>50</v>
      </c>
      <c r="I63" s="11">
        <v>8640</v>
      </c>
      <c r="J63" s="11">
        <v>4800</v>
      </c>
      <c r="K63" s="11">
        <v>3840</v>
      </c>
      <c r="L63" t="s">
        <v>86</v>
      </c>
      <c r="M63" t="s">
        <v>117</v>
      </c>
      <c r="N63" t="s">
        <v>123</v>
      </c>
    </row>
    <row r="64" spans="1:14">
      <c r="A64" s="20">
        <v>45377</v>
      </c>
      <c r="B64" t="s">
        <v>103</v>
      </c>
      <c r="C64" t="s">
        <v>94</v>
      </c>
      <c r="D64" t="s">
        <v>110</v>
      </c>
      <c r="E64">
        <v>35</v>
      </c>
      <c r="F64">
        <v>143</v>
      </c>
      <c r="G64">
        <v>80</v>
      </c>
      <c r="H64">
        <v>45</v>
      </c>
      <c r="I64" s="11">
        <v>11440</v>
      </c>
      <c r="J64" s="11">
        <v>6435</v>
      </c>
      <c r="K64" s="11">
        <v>5005</v>
      </c>
      <c r="L64" t="s">
        <v>80</v>
      </c>
      <c r="M64" t="s">
        <v>115</v>
      </c>
      <c r="N64" t="s">
        <v>124</v>
      </c>
    </row>
    <row r="65" spans="1:14">
      <c r="A65" s="20">
        <v>45495</v>
      </c>
      <c r="B65" t="s">
        <v>105</v>
      </c>
      <c r="C65" t="s">
        <v>94</v>
      </c>
      <c r="D65" t="s">
        <v>111</v>
      </c>
      <c r="E65">
        <v>30</v>
      </c>
      <c r="F65">
        <v>62</v>
      </c>
      <c r="G65">
        <v>80</v>
      </c>
      <c r="H65">
        <v>45</v>
      </c>
      <c r="I65" s="11">
        <v>4960</v>
      </c>
      <c r="J65" s="11">
        <v>2790</v>
      </c>
      <c r="K65" s="11">
        <v>2170</v>
      </c>
      <c r="L65" t="s">
        <v>84</v>
      </c>
      <c r="M65" t="s">
        <v>117</v>
      </c>
      <c r="N65" t="s">
        <v>123</v>
      </c>
    </row>
    <row r="66" spans="1:14">
      <c r="A66" s="20">
        <v>45314</v>
      </c>
      <c r="B66" t="s">
        <v>106</v>
      </c>
      <c r="C66" t="s">
        <v>94</v>
      </c>
      <c r="D66" t="s">
        <v>112</v>
      </c>
      <c r="E66">
        <v>27</v>
      </c>
      <c r="F66">
        <v>40</v>
      </c>
      <c r="G66">
        <v>80</v>
      </c>
      <c r="H66">
        <v>45</v>
      </c>
      <c r="I66" s="11">
        <v>3200</v>
      </c>
      <c r="J66" s="11">
        <v>1800</v>
      </c>
      <c r="K66" s="11">
        <v>1400</v>
      </c>
      <c r="L66" t="s">
        <v>78</v>
      </c>
      <c r="M66" t="s">
        <v>115</v>
      </c>
      <c r="N66" t="s">
        <v>123</v>
      </c>
    </row>
    <row r="67" spans="1:14">
      <c r="A67" s="20">
        <v>45541</v>
      </c>
      <c r="B67" t="s">
        <v>104</v>
      </c>
      <c r="C67" t="s">
        <v>97</v>
      </c>
      <c r="D67" t="s">
        <v>111</v>
      </c>
      <c r="E67">
        <v>33</v>
      </c>
      <c r="F67">
        <v>33</v>
      </c>
      <c r="G67">
        <v>130</v>
      </c>
      <c r="H67">
        <v>70</v>
      </c>
      <c r="I67" s="11">
        <v>4290</v>
      </c>
      <c r="J67" s="11">
        <v>2310</v>
      </c>
      <c r="K67" s="11">
        <v>1980</v>
      </c>
      <c r="L67" t="s">
        <v>86</v>
      </c>
      <c r="M67" t="s">
        <v>117</v>
      </c>
      <c r="N67" t="s">
        <v>124</v>
      </c>
    </row>
    <row r="68" spans="1:14">
      <c r="A68" s="20">
        <v>45627</v>
      </c>
      <c r="B68" t="s">
        <v>103</v>
      </c>
      <c r="C68" t="s">
        <v>96</v>
      </c>
      <c r="D68" t="s">
        <v>111</v>
      </c>
      <c r="E68">
        <v>21</v>
      </c>
      <c r="F68">
        <v>36</v>
      </c>
      <c r="G68">
        <v>90</v>
      </c>
      <c r="H68">
        <v>50</v>
      </c>
      <c r="I68" s="11">
        <v>3240</v>
      </c>
      <c r="J68" s="11">
        <v>1800</v>
      </c>
      <c r="K68" s="11">
        <v>1440</v>
      </c>
      <c r="L68" t="s">
        <v>89</v>
      </c>
      <c r="M68" t="s">
        <v>118</v>
      </c>
      <c r="N68" t="s">
        <v>122</v>
      </c>
    </row>
    <row r="69" spans="1:14">
      <c r="A69" s="20">
        <v>45443</v>
      </c>
      <c r="B69" t="s">
        <v>104</v>
      </c>
      <c r="C69" t="s">
        <v>95</v>
      </c>
      <c r="D69" t="s">
        <v>110</v>
      </c>
      <c r="E69">
        <v>34</v>
      </c>
      <c r="F69">
        <v>150</v>
      </c>
      <c r="G69">
        <v>110</v>
      </c>
      <c r="H69">
        <v>60</v>
      </c>
      <c r="I69" s="11">
        <v>16500</v>
      </c>
      <c r="J69" s="11">
        <v>9000</v>
      </c>
      <c r="K69" s="11">
        <v>7500</v>
      </c>
      <c r="L69" t="s">
        <v>82</v>
      </c>
      <c r="M69" t="s">
        <v>116</v>
      </c>
      <c r="N69" t="s">
        <v>124</v>
      </c>
    </row>
    <row r="70" spans="1:14">
      <c r="A70" s="20">
        <v>45356</v>
      </c>
      <c r="B70" t="s">
        <v>106</v>
      </c>
      <c r="C70" t="s">
        <v>97</v>
      </c>
      <c r="D70" t="s">
        <v>110</v>
      </c>
      <c r="E70">
        <v>33</v>
      </c>
      <c r="F70">
        <v>190</v>
      </c>
      <c r="G70">
        <v>130</v>
      </c>
      <c r="H70">
        <v>70</v>
      </c>
      <c r="I70" s="11">
        <v>24700</v>
      </c>
      <c r="J70" s="11">
        <v>13300</v>
      </c>
      <c r="K70" s="11">
        <v>11400</v>
      </c>
      <c r="L70" t="s">
        <v>80</v>
      </c>
      <c r="M70" t="s">
        <v>115</v>
      </c>
      <c r="N70" t="s">
        <v>124</v>
      </c>
    </row>
    <row r="71" spans="1:14">
      <c r="A71" s="20">
        <v>45544</v>
      </c>
      <c r="B71" t="s">
        <v>105</v>
      </c>
      <c r="C71" t="s">
        <v>94</v>
      </c>
      <c r="D71" t="s">
        <v>110</v>
      </c>
      <c r="E71">
        <v>27</v>
      </c>
      <c r="F71">
        <v>37</v>
      </c>
      <c r="G71">
        <v>80</v>
      </c>
      <c r="H71">
        <v>45</v>
      </c>
      <c r="I71" s="11">
        <v>2960</v>
      </c>
      <c r="J71" s="11">
        <v>1665</v>
      </c>
      <c r="K71" s="11">
        <v>1295</v>
      </c>
      <c r="L71" t="s">
        <v>86</v>
      </c>
      <c r="M71" t="s">
        <v>117</v>
      </c>
      <c r="N71" t="s">
        <v>123</v>
      </c>
    </row>
    <row r="72" spans="1:14">
      <c r="A72" s="20">
        <v>45406</v>
      </c>
      <c r="B72" t="s">
        <v>103</v>
      </c>
      <c r="C72" t="s">
        <v>93</v>
      </c>
      <c r="D72" t="s">
        <v>111</v>
      </c>
      <c r="E72">
        <v>39</v>
      </c>
      <c r="F72">
        <v>124</v>
      </c>
      <c r="G72">
        <v>100</v>
      </c>
      <c r="H72">
        <v>55</v>
      </c>
      <c r="I72" s="11">
        <v>12400</v>
      </c>
      <c r="J72" s="11">
        <v>6820</v>
      </c>
      <c r="K72" s="11">
        <v>5580</v>
      </c>
      <c r="L72" t="s">
        <v>81</v>
      </c>
      <c r="M72" t="s">
        <v>116</v>
      </c>
      <c r="N72" t="s">
        <v>125</v>
      </c>
    </row>
    <row r="73" spans="1:14">
      <c r="A73" s="20">
        <v>45508</v>
      </c>
      <c r="B73" t="s">
        <v>103</v>
      </c>
      <c r="C73" t="s">
        <v>98</v>
      </c>
      <c r="D73" t="s">
        <v>110</v>
      </c>
      <c r="E73">
        <v>33</v>
      </c>
      <c r="F73">
        <v>102</v>
      </c>
      <c r="G73">
        <v>100</v>
      </c>
      <c r="H73">
        <v>55</v>
      </c>
      <c r="I73" s="11">
        <v>10200</v>
      </c>
      <c r="J73" s="11">
        <v>5610</v>
      </c>
      <c r="K73" s="11">
        <v>4590</v>
      </c>
      <c r="L73" t="s">
        <v>85</v>
      </c>
      <c r="M73" t="s">
        <v>117</v>
      </c>
      <c r="N73" t="s">
        <v>124</v>
      </c>
    </row>
    <row r="74" spans="1:14">
      <c r="A74" s="20">
        <v>45483</v>
      </c>
      <c r="B74" t="s">
        <v>105</v>
      </c>
      <c r="C74" t="s">
        <v>96</v>
      </c>
      <c r="D74" t="s">
        <v>110</v>
      </c>
      <c r="E74">
        <v>32</v>
      </c>
      <c r="F74">
        <v>53</v>
      </c>
      <c r="G74">
        <v>90</v>
      </c>
      <c r="H74">
        <v>50</v>
      </c>
      <c r="I74" s="11">
        <v>4770</v>
      </c>
      <c r="J74" s="11">
        <v>2650</v>
      </c>
      <c r="K74" s="11">
        <v>2120</v>
      </c>
      <c r="L74" t="s">
        <v>84</v>
      </c>
      <c r="M74" t="s">
        <v>117</v>
      </c>
      <c r="N74" t="s">
        <v>124</v>
      </c>
    </row>
    <row r="75" spans="1:14">
      <c r="A75" s="20">
        <v>45481</v>
      </c>
      <c r="B75" t="s">
        <v>103</v>
      </c>
      <c r="C75" t="s">
        <v>96</v>
      </c>
      <c r="D75" t="s">
        <v>111</v>
      </c>
      <c r="E75">
        <v>34</v>
      </c>
      <c r="F75">
        <v>52</v>
      </c>
      <c r="G75">
        <v>90</v>
      </c>
      <c r="H75">
        <v>50</v>
      </c>
      <c r="I75" s="11">
        <v>4680</v>
      </c>
      <c r="J75" s="11">
        <v>2600</v>
      </c>
      <c r="K75" s="11">
        <v>2080</v>
      </c>
      <c r="L75" t="s">
        <v>84</v>
      </c>
      <c r="M75" t="s">
        <v>117</v>
      </c>
      <c r="N75" t="s">
        <v>124</v>
      </c>
    </row>
    <row r="76" spans="1:14">
      <c r="A76" s="20">
        <v>45646</v>
      </c>
      <c r="B76" t="s">
        <v>106</v>
      </c>
      <c r="C76" t="s">
        <v>94</v>
      </c>
      <c r="D76" t="s">
        <v>111</v>
      </c>
      <c r="E76">
        <v>26</v>
      </c>
      <c r="F76">
        <v>57</v>
      </c>
      <c r="G76">
        <v>80</v>
      </c>
      <c r="H76">
        <v>45</v>
      </c>
      <c r="I76" s="11">
        <v>4560</v>
      </c>
      <c r="J76" s="11">
        <v>2565</v>
      </c>
      <c r="K76" s="11">
        <v>1995</v>
      </c>
      <c r="L76" t="s">
        <v>89</v>
      </c>
      <c r="M76" t="s">
        <v>118</v>
      </c>
      <c r="N76" t="s">
        <v>123</v>
      </c>
    </row>
    <row r="77" spans="1:14">
      <c r="A77" s="20">
        <v>45633</v>
      </c>
      <c r="B77" t="s">
        <v>103</v>
      </c>
      <c r="C77" t="s">
        <v>93</v>
      </c>
      <c r="D77" t="s">
        <v>110</v>
      </c>
      <c r="E77">
        <v>20</v>
      </c>
      <c r="F77">
        <v>50</v>
      </c>
      <c r="G77">
        <v>100</v>
      </c>
      <c r="H77">
        <v>55</v>
      </c>
      <c r="I77" s="11">
        <v>5000</v>
      </c>
      <c r="J77" s="11">
        <v>2750</v>
      </c>
      <c r="K77" s="11">
        <v>2250</v>
      </c>
      <c r="L77" t="s">
        <v>89</v>
      </c>
      <c r="M77" t="s">
        <v>118</v>
      </c>
      <c r="N77" t="s">
        <v>122</v>
      </c>
    </row>
    <row r="78" spans="1:14">
      <c r="A78" s="20">
        <v>45367</v>
      </c>
      <c r="B78" t="s">
        <v>106</v>
      </c>
      <c r="C78" t="s">
        <v>93</v>
      </c>
      <c r="D78" t="s">
        <v>111</v>
      </c>
      <c r="E78">
        <v>34</v>
      </c>
      <c r="F78">
        <v>101</v>
      </c>
      <c r="G78">
        <v>100</v>
      </c>
      <c r="H78">
        <v>55</v>
      </c>
      <c r="I78" s="11">
        <v>10100</v>
      </c>
      <c r="J78" s="11">
        <v>5555</v>
      </c>
      <c r="K78" s="11">
        <v>4545</v>
      </c>
      <c r="L78" t="s">
        <v>80</v>
      </c>
      <c r="M78" t="s">
        <v>115</v>
      </c>
      <c r="N78" t="s">
        <v>124</v>
      </c>
    </row>
    <row r="79" spans="1:14">
      <c r="A79" s="20">
        <v>45435</v>
      </c>
      <c r="B79" t="s">
        <v>103</v>
      </c>
      <c r="C79" t="s">
        <v>93</v>
      </c>
      <c r="D79" t="s">
        <v>110</v>
      </c>
      <c r="E79">
        <v>36</v>
      </c>
      <c r="F79">
        <v>172</v>
      </c>
      <c r="G79">
        <v>100</v>
      </c>
      <c r="H79">
        <v>55</v>
      </c>
      <c r="I79" s="11">
        <v>17200</v>
      </c>
      <c r="J79" s="11">
        <v>9460</v>
      </c>
      <c r="K79" s="11">
        <v>7740</v>
      </c>
      <c r="L79" t="s">
        <v>82</v>
      </c>
      <c r="M79" t="s">
        <v>116</v>
      </c>
      <c r="N79" t="s">
        <v>125</v>
      </c>
    </row>
    <row r="80" spans="1:14">
      <c r="A80" s="20">
        <v>45344</v>
      </c>
      <c r="B80" t="s">
        <v>105</v>
      </c>
      <c r="C80" t="s">
        <v>95</v>
      </c>
      <c r="D80" t="s">
        <v>110</v>
      </c>
      <c r="E80">
        <v>32</v>
      </c>
      <c r="F80">
        <v>71</v>
      </c>
      <c r="G80">
        <v>110</v>
      </c>
      <c r="H80">
        <v>60</v>
      </c>
      <c r="I80" s="11">
        <v>7810</v>
      </c>
      <c r="J80" s="11">
        <v>4260</v>
      </c>
      <c r="K80" s="11">
        <v>3550</v>
      </c>
      <c r="L80" t="s">
        <v>79</v>
      </c>
      <c r="M80" t="s">
        <v>115</v>
      </c>
      <c r="N80" t="s">
        <v>124</v>
      </c>
    </row>
    <row r="81" spans="1:14">
      <c r="A81" s="20">
        <v>45514</v>
      </c>
      <c r="B81" t="s">
        <v>105</v>
      </c>
      <c r="C81" t="s">
        <v>94</v>
      </c>
      <c r="D81" t="s">
        <v>111</v>
      </c>
      <c r="E81">
        <v>27</v>
      </c>
      <c r="F81">
        <v>104</v>
      </c>
      <c r="G81">
        <v>80</v>
      </c>
      <c r="H81">
        <v>45</v>
      </c>
      <c r="I81" s="11">
        <v>8320</v>
      </c>
      <c r="J81" s="11">
        <v>4680</v>
      </c>
      <c r="K81" s="11">
        <v>3640</v>
      </c>
      <c r="L81" t="s">
        <v>85</v>
      </c>
      <c r="M81" t="s">
        <v>117</v>
      </c>
      <c r="N81" t="s">
        <v>123</v>
      </c>
    </row>
    <row r="82" spans="1:14">
      <c r="A82" s="20">
        <v>45530</v>
      </c>
      <c r="B82" t="s">
        <v>105</v>
      </c>
      <c r="C82" t="s">
        <v>94</v>
      </c>
      <c r="D82" t="s">
        <v>111</v>
      </c>
      <c r="E82">
        <v>33</v>
      </c>
      <c r="F82">
        <v>36</v>
      </c>
      <c r="G82">
        <v>80</v>
      </c>
      <c r="H82">
        <v>45</v>
      </c>
      <c r="I82" s="11">
        <v>2880</v>
      </c>
      <c r="J82" s="11">
        <v>1620</v>
      </c>
      <c r="K82" s="11">
        <v>1260</v>
      </c>
      <c r="L82" t="s">
        <v>85</v>
      </c>
      <c r="M82" t="s">
        <v>117</v>
      </c>
      <c r="N82" t="s">
        <v>124</v>
      </c>
    </row>
    <row r="83" spans="1:14">
      <c r="A83" s="20">
        <v>45461</v>
      </c>
      <c r="B83" t="s">
        <v>106</v>
      </c>
      <c r="C83" t="s">
        <v>93</v>
      </c>
      <c r="D83" t="s">
        <v>110</v>
      </c>
      <c r="E83">
        <v>36</v>
      </c>
      <c r="F83">
        <v>78</v>
      </c>
      <c r="G83">
        <v>100</v>
      </c>
      <c r="H83">
        <v>55</v>
      </c>
      <c r="I83" s="11">
        <v>7800</v>
      </c>
      <c r="J83" s="11">
        <v>4290</v>
      </c>
      <c r="K83" s="11">
        <v>3510</v>
      </c>
      <c r="L83" t="s">
        <v>83</v>
      </c>
      <c r="M83" t="s">
        <v>116</v>
      </c>
      <c r="N83" t="s">
        <v>125</v>
      </c>
    </row>
    <row r="84" spans="1:14">
      <c r="A84" s="20">
        <v>45630</v>
      </c>
      <c r="B84" t="s">
        <v>106</v>
      </c>
      <c r="C84" t="s">
        <v>96</v>
      </c>
      <c r="D84" t="s">
        <v>112</v>
      </c>
      <c r="E84">
        <v>24</v>
      </c>
      <c r="F84">
        <v>26</v>
      </c>
      <c r="G84">
        <v>90</v>
      </c>
      <c r="H84">
        <v>50</v>
      </c>
      <c r="I84" s="11">
        <v>2340</v>
      </c>
      <c r="J84" s="11">
        <v>1300</v>
      </c>
      <c r="K84" s="11">
        <v>1040</v>
      </c>
      <c r="L84" t="s">
        <v>89</v>
      </c>
      <c r="M84" t="s">
        <v>118</v>
      </c>
      <c r="N84" t="s">
        <v>122</v>
      </c>
    </row>
    <row r="85" spans="1:14">
      <c r="A85" s="20">
        <v>45508</v>
      </c>
      <c r="B85" t="s">
        <v>104</v>
      </c>
      <c r="C85" t="s">
        <v>96</v>
      </c>
      <c r="D85" t="s">
        <v>111</v>
      </c>
      <c r="E85">
        <v>31</v>
      </c>
      <c r="F85">
        <v>48</v>
      </c>
      <c r="G85">
        <v>90</v>
      </c>
      <c r="H85">
        <v>50</v>
      </c>
      <c r="I85" s="11">
        <v>4320</v>
      </c>
      <c r="J85" s="11">
        <v>2400</v>
      </c>
      <c r="K85" s="11">
        <v>1920</v>
      </c>
      <c r="L85" t="s">
        <v>85</v>
      </c>
      <c r="M85" t="s">
        <v>117</v>
      </c>
      <c r="N85" t="s">
        <v>124</v>
      </c>
    </row>
    <row r="86" spans="1:14">
      <c r="A86" s="20">
        <v>45458</v>
      </c>
      <c r="B86" t="s">
        <v>106</v>
      </c>
      <c r="C86" t="s">
        <v>93</v>
      </c>
      <c r="D86" t="s">
        <v>110</v>
      </c>
      <c r="E86">
        <v>33</v>
      </c>
      <c r="F86">
        <v>190</v>
      </c>
      <c r="G86">
        <v>100</v>
      </c>
      <c r="H86">
        <v>55</v>
      </c>
      <c r="I86" s="11">
        <v>19000</v>
      </c>
      <c r="J86" s="11">
        <v>10450</v>
      </c>
      <c r="K86" s="11">
        <v>8550</v>
      </c>
      <c r="L86" t="s">
        <v>83</v>
      </c>
      <c r="M86" t="s">
        <v>116</v>
      </c>
      <c r="N86" t="s">
        <v>124</v>
      </c>
    </row>
    <row r="87" spans="1:14">
      <c r="A87" s="20">
        <v>45511</v>
      </c>
      <c r="B87" t="s">
        <v>105</v>
      </c>
      <c r="C87" t="s">
        <v>96</v>
      </c>
      <c r="D87" t="s">
        <v>111</v>
      </c>
      <c r="E87">
        <v>26</v>
      </c>
      <c r="F87">
        <v>68</v>
      </c>
      <c r="G87">
        <v>90</v>
      </c>
      <c r="H87">
        <v>50</v>
      </c>
      <c r="I87" s="11">
        <v>6120</v>
      </c>
      <c r="J87" s="11">
        <v>3400</v>
      </c>
      <c r="K87" s="11">
        <v>2720</v>
      </c>
      <c r="L87" t="s">
        <v>85</v>
      </c>
      <c r="M87" t="s">
        <v>117</v>
      </c>
      <c r="N87" t="s">
        <v>123</v>
      </c>
    </row>
    <row r="88" spans="1:14">
      <c r="A88" s="20">
        <v>45639</v>
      </c>
      <c r="B88" t="s">
        <v>104</v>
      </c>
      <c r="C88" t="s">
        <v>97</v>
      </c>
      <c r="D88" t="s">
        <v>110</v>
      </c>
      <c r="E88">
        <v>23</v>
      </c>
      <c r="F88">
        <v>42</v>
      </c>
      <c r="G88">
        <v>130</v>
      </c>
      <c r="H88">
        <v>70</v>
      </c>
      <c r="I88" s="11">
        <v>5460</v>
      </c>
      <c r="J88" s="11">
        <v>2940</v>
      </c>
      <c r="K88" s="11">
        <v>2520</v>
      </c>
      <c r="L88" t="s">
        <v>89</v>
      </c>
      <c r="M88" t="s">
        <v>118</v>
      </c>
      <c r="N88" t="s">
        <v>122</v>
      </c>
    </row>
    <row r="89" spans="1:14">
      <c r="A89" s="20">
        <v>45408</v>
      </c>
      <c r="B89" t="s">
        <v>103</v>
      </c>
      <c r="C89" t="s">
        <v>97</v>
      </c>
      <c r="D89" t="s">
        <v>112</v>
      </c>
      <c r="E89">
        <v>36</v>
      </c>
      <c r="F89">
        <v>110</v>
      </c>
      <c r="G89">
        <v>130</v>
      </c>
      <c r="H89">
        <v>70</v>
      </c>
      <c r="I89" s="11">
        <v>14300</v>
      </c>
      <c r="J89" s="11">
        <v>7700</v>
      </c>
      <c r="K89" s="11">
        <v>6600</v>
      </c>
      <c r="L89" t="s">
        <v>81</v>
      </c>
      <c r="M89" t="s">
        <v>116</v>
      </c>
      <c r="N89" t="s">
        <v>125</v>
      </c>
    </row>
    <row r="90" spans="1:14">
      <c r="A90" s="20">
        <v>45371</v>
      </c>
      <c r="B90" t="s">
        <v>106</v>
      </c>
      <c r="C90" t="s">
        <v>96</v>
      </c>
      <c r="D90" t="s">
        <v>110</v>
      </c>
      <c r="E90">
        <v>35</v>
      </c>
      <c r="F90">
        <v>196</v>
      </c>
      <c r="G90">
        <v>90</v>
      </c>
      <c r="H90">
        <v>50</v>
      </c>
      <c r="I90" s="11">
        <v>17640</v>
      </c>
      <c r="J90" s="11">
        <v>9800</v>
      </c>
      <c r="K90" s="11">
        <v>7840</v>
      </c>
      <c r="L90" t="s">
        <v>80</v>
      </c>
      <c r="M90" t="s">
        <v>115</v>
      </c>
      <c r="N90" t="s">
        <v>124</v>
      </c>
    </row>
    <row r="91" spans="1:14">
      <c r="A91" s="20">
        <v>45338</v>
      </c>
      <c r="B91" t="s">
        <v>105</v>
      </c>
      <c r="C91" t="s">
        <v>96</v>
      </c>
      <c r="D91" t="s">
        <v>110</v>
      </c>
      <c r="E91">
        <v>31</v>
      </c>
      <c r="F91">
        <v>83</v>
      </c>
      <c r="G91">
        <v>90</v>
      </c>
      <c r="H91">
        <v>50</v>
      </c>
      <c r="I91" s="11">
        <v>7470</v>
      </c>
      <c r="J91" s="11">
        <v>4150</v>
      </c>
      <c r="K91" s="11">
        <v>3320</v>
      </c>
      <c r="L91" t="s">
        <v>79</v>
      </c>
      <c r="M91" t="s">
        <v>115</v>
      </c>
      <c r="N91" t="s">
        <v>124</v>
      </c>
    </row>
    <row r="92" spans="1:14">
      <c r="A92" s="20">
        <v>45550</v>
      </c>
      <c r="B92" t="s">
        <v>103</v>
      </c>
      <c r="C92" t="s">
        <v>97</v>
      </c>
      <c r="D92" t="s">
        <v>110</v>
      </c>
      <c r="E92">
        <v>33</v>
      </c>
      <c r="F92">
        <v>45</v>
      </c>
      <c r="G92">
        <v>130</v>
      </c>
      <c r="H92">
        <v>70</v>
      </c>
      <c r="I92" s="11">
        <v>5850</v>
      </c>
      <c r="J92" s="11">
        <v>3150</v>
      </c>
      <c r="K92" s="11">
        <v>2700</v>
      </c>
      <c r="L92" t="s">
        <v>86</v>
      </c>
      <c r="M92" t="s">
        <v>117</v>
      </c>
      <c r="N92" t="s">
        <v>124</v>
      </c>
    </row>
    <row r="93" spans="1:14">
      <c r="A93" s="20">
        <v>45649</v>
      </c>
      <c r="B93" t="s">
        <v>105</v>
      </c>
      <c r="C93" t="s">
        <v>93</v>
      </c>
      <c r="D93" t="s">
        <v>110</v>
      </c>
      <c r="E93">
        <v>21</v>
      </c>
      <c r="F93">
        <v>37</v>
      </c>
      <c r="G93">
        <v>100</v>
      </c>
      <c r="H93">
        <v>55</v>
      </c>
      <c r="I93" s="11">
        <v>3700</v>
      </c>
      <c r="J93" s="11">
        <v>2035</v>
      </c>
      <c r="K93" s="11">
        <v>1665</v>
      </c>
      <c r="L93" t="s">
        <v>89</v>
      </c>
      <c r="M93" t="s">
        <v>118</v>
      </c>
      <c r="N93" t="s">
        <v>122</v>
      </c>
    </row>
    <row r="94" spans="1:14">
      <c r="A94" s="20">
        <v>45381</v>
      </c>
      <c r="B94" t="s">
        <v>103</v>
      </c>
      <c r="C94" t="s">
        <v>93</v>
      </c>
      <c r="D94" t="s">
        <v>110</v>
      </c>
      <c r="E94">
        <v>40</v>
      </c>
      <c r="F94">
        <v>150</v>
      </c>
      <c r="G94">
        <v>100</v>
      </c>
      <c r="H94">
        <v>55</v>
      </c>
      <c r="I94" s="11">
        <v>15000</v>
      </c>
      <c r="J94" s="11">
        <v>8250</v>
      </c>
      <c r="K94" s="11">
        <v>6750</v>
      </c>
      <c r="L94" t="s">
        <v>80</v>
      </c>
      <c r="M94" t="s">
        <v>115</v>
      </c>
      <c r="N94" t="s">
        <v>125</v>
      </c>
    </row>
    <row r="95" spans="1:14">
      <c r="A95" s="20">
        <v>45519</v>
      </c>
      <c r="B95" t="s">
        <v>105</v>
      </c>
      <c r="C95" t="s">
        <v>97</v>
      </c>
      <c r="D95" t="s">
        <v>111</v>
      </c>
      <c r="E95">
        <v>30</v>
      </c>
      <c r="F95">
        <v>62</v>
      </c>
      <c r="G95">
        <v>130</v>
      </c>
      <c r="H95">
        <v>70</v>
      </c>
      <c r="I95" s="11">
        <v>8060</v>
      </c>
      <c r="J95" s="11">
        <v>4340</v>
      </c>
      <c r="K95" s="11">
        <v>3720</v>
      </c>
      <c r="L95" t="s">
        <v>85</v>
      </c>
      <c r="M95" t="s">
        <v>117</v>
      </c>
      <c r="N95" t="s">
        <v>123</v>
      </c>
    </row>
    <row r="96" spans="1:14">
      <c r="A96" s="20">
        <v>45503</v>
      </c>
      <c r="B96" t="s">
        <v>103</v>
      </c>
      <c r="C96" t="s">
        <v>96</v>
      </c>
      <c r="D96" t="s">
        <v>110</v>
      </c>
      <c r="E96">
        <v>31</v>
      </c>
      <c r="F96">
        <v>64</v>
      </c>
      <c r="G96">
        <v>90</v>
      </c>
      <c r="H96">
        <v>50</v>
      </c>
      <c r="I96" s="11">
        <v>5760</v>
      </c>
      <c r="J96" s="11">
        <v>3200</v>
      </c>
      <c r="K96" s="11">
        <v>2560</v>
      </c>
      <c r="L96" t="s">
        <v>84</v>
      </c>
      <c r="M96" t="s">
        <v>117</v>
      </c>
      <c r="N96" t="s">
        <v>124</v>
      </c>
    </row>
    <row r="97" spans="1:14">
      <c r="A97" s="20">
        <v>45373</v>
      </c>
      <c r="B97" t="s">
        <v>104</v>
      </c>
      <c r="C97" t="s">
        <v>93</v>
      </c>
      <c r="D97" t="s">
        <v>112</v>
      </c>
      <c r="E97">
        <v>39</v>
      </c>
      <c r="F97">
        <v>59</v>
      </c>
      <c r="G97">
        <v>100</v>
      </c>
      <c r="H97">
        <v>55</v>
      </c>
      <c r="I97" s="11">
        <v>5900</v>
      </c>
      <c r="J97" s="11">
        <v>3245</v>
      </c>
      <c r="K97" s="11">
        <v>2655</v>
      </c>
      <c r="L97" t="s">
        <v>80</v>
      </c>
      <c r="M97" t="s">
        <v>115</v>
      </c>
      <c r="N97" t="s">
        <v>125</v>
      </c>
    </row>
    <row r="98" spans="1:14">
      <c r="A98" s="20">
        <v>45577</v>
      </c>
      <c r="B98" t="s">
        <v>103</v>
      </c>
      <c r="C98" t="s">
        <v>98</v>
      </c>
      <c r="D98" t="s">
        <v>110</v>
      </c>
      <c r="E98">
        <v>31</v>
      </c>
      <c r="F98">
        <v>62</v>
      </c>
      <c r="G98">
        <v>100</v>
      </c>
      <c r="H98">
        <v>55</v>
      </c>
      <c r="I98" s="11">
        <v>6200</v>
      </c>
      <c r="J98" s="11">
        <v>3410</v>
      </c>
      <c r="K98" s="11">
        <v>2790</v>
      </c>
      <c r="L98" t="s">
        <v>87</v>
      </c>
      <c r="M98" t="s">
        <v>118</v>
      </c>
      <c r="N98" t="s">
        <v>124</v>
      </c>
    </row>
    <row r="99" spans="1:14">
      <c r="A99" s="20">
        <v>45356</v>
      </c>
      <c r="B99" t="s">
        <v>106</v>
      </c>
      <c r="C99" t="s">
        <v>93</v>
      </c>
      <c r="D99" t="s">
        <v>110</v>
      </c>
      <c r="E99">
        <v>40</v>
      </c>
      <c r="F99">
        <v>75</v>
      </c>
      <c r="G99">
        <v>100</v>
      </c>
      <c r="H99">
        <v>55</v>
      </c>
      <c r="I99" s="11">
        <v>7500</v>
      </c>
      <c r="J99" s="11">
        <v>4125</v>
      </c>
      <c r="K99" s="11">
        <v>3375</v>
      </c>
      <c r="L99" t="s">
        <v>80</v>
      </c>
      <c r="M99" t="s">
        <v>115</v>
      </c>
      <c r="N99" t="s">
        <v>125</v>
      </c>
    </row>
    <row r="100" spans="1:14">
      <c r="A100" s="20">
        <v>45633</v>
      </c>
      <c r="B100" t="s">
        <v>104</v>
      </c>
      <c r="C100" t="s">
        <v>98</v>
      </c>
      <c r="D100" t="s">
        <v>110</v>
      </c>
      <c r="E100">
        <v>20</v>
      </c>
      <c r="F100">
        <v>50</v>
      </c>
      <c r="G100">
        <v>100</v>
      </c>
      <c r="H100">
        <v>55</v>
      </c>
      <c r="I100" s="11">
        <v>5000</v>
      </c>
      <c r="J100" s="11">
        <v>2750</v>
      </c>
      <c r="K100" s="11">
        <v>2250</v>
      </c>
      <c r="L100" t="s">
        <v>89</v>
      </c>
      <c r="M100" t="s">
        <v>118</v>
      </c>
      <c r="N100" t="s">
        <v>122</v>
      </c>
    </row>
    <row r="101" spans="1:14">
      <c r="A101" s="20">
        <v>45602</v>
      </c>
      <c r="B101" t="s">
        <v>106</v>
      </c>
      <c r="C101" t="s">
        <v>98</v>
      </c>
      <c r="D101" t="s">
        <v>112</v>
      </c>
      <c r="E101">
        <v>20</v>
      </c>
      <c r="F101">
        <v>47</v>
      </c>
      <c r="G101">
        <v>100</v>
      </c>
      <c r="H101">
        <v>55</v>
      </c>
      <c r="I101" s="11">
        <v>4700</v>
      </c>
      <c r="J101" s="11">
        <v>2585</v>
      </c>
      <c r="K101" s="11">
        <v>2115</v>
      </c>
      <c r="L101" t="s">
        <v>88</v>
      </c>
      <c r="M101" t="s">
        <v>118</v>
      </c>
      <c r="N101" t="s">
        <v>122</v>
      </c>
    </row>
    <row r="102" spans="1:14">
      <c r="A102" s="20">
        <v>45314</v>
      </c>
      <c r="B102" t="s">
        <v>106</v>
      </c>
      <c r="C102" t="s">
        <v>95</v>
      </c>
      <c r="D102" t="s">
        <v>111</v>
      </c>
      <c r="E102">
        <v>22</v>
      </c>
      <c r="F102">
        <v>26</v>
      </c>
      <c r="G102">
        <v>110</v>
      </c>
      <c r="H102">
        <v>60</v>
      </c>
      <c r="I102" s="11">
        <v>2860</v>
      </c>
      <c r="J102" s="11">
        <v>1560</v>
      </c>
      <c r="K102" s="11">
        <v>1300</v>
      </c>
      <c r="L102" t="s">
        <v>78</v>
      </c>
      <c r="M102" t="s">
        <v>115</v>
      </c>
      <c r="N102" t="s">
        <v>122</v>
      </c>
    </row>
    <row r="103" spans="1:14">
      <c r="A103" s="20">
        <v>45369</v>
      </c>
      <c r="B103" t="s">
        <v>103</v>
      </c>
      <c r="C103" t="s">
        <v>94</v>
      </c>
      <c r="D103" t="s">
        <v>110</v>
      </c>
      <c r="E103">
        <v>32</v>
      </c>
      <c r="F103">
        <v>53</v>
      </c>
      <c r="G103">
        <v>80</v>
      </c>
      <c r="H103">
        <v>45</v>
      </c>
      <c r="I103" s="11">
        <v>4240</v>
      </c>
      <c r="J103" s="11">
        <v>2385</v>
      </c>
      <c r="K103" s="11">
        <v>1855</v>
      </c>
      <c r="L103" t="s">
        <v>80</v>
      </c>
      <c r="M103" t="s">
        <v>115</v>
      </c>
      <c r="N103" t="s">
        <v>124</v>
      </c>
    </row>
    <row r="104" spans="1:14">
      <c r="A104" s="20">
        <v>45579</v>
      </c>
      <c r="B104" t="s">
        <v>103</v>
      </c>
      <c r="C104" t="s">
        <v>94</v>
      </c>
      <c r="D104" t="s">
        <v>110</v>
      </c>
      <c r="E104">
        <v>31</v>
      </c>
      <c r="F104">
        <v>63</v>
      </c>
      <c r="G104">
        <v>80</v>
      </c>
      <c r="H104">
        <v>45</v>
      </c>
      <c r="I104" s="11">
        <v>5040</v>
      </c>
      <c r="J104" s="11">
        <v>2835</v>
      </c>
      <c r="K104" s="11">
        <v>2205</v>
      </c>
      <c r="L104" t="s">
        <v>87</v>
      </c>
      <c r="M104" t="s">
        <v>118</v>
      </c>
      <c r="N104" t="s">
        <v>124</v>
      </c>
    </row>
    <row r="105" spans="1:14">
      <c r="A105" s="20">
        <v>45409</v>
      </c>
      <c r="B105" t="s">
        <v>103</v>
      </c>
      <c r="C105" t="s">
        <v>98</v>
      </c>
      <c r="D105" t="s">
        <v>111</v>
      </c>
      <c r="E105">
        <v>40</v>
      </c>
      <c r="F105">
        <v>182</v>
      </c>
      <c r="G105">
        <v>100</v>
      </c>
      <c r="H105">
        <v>55</v>
      </c>
      <c r="I105" s="11">
        <v>18200</v>
      </c>
      <c r="J105" s="11">
        <v>10010</v>
      </c>
      <c r="K105" s="11">
        <v>8190</v>
      </c>
      <c r="L105" t="s">
        <v>81</v>
      </c>
      <c r="M105" t="s">
        <v>116</v>
      </c>
      <c r="N105" t="s">
        <v>125</v>
      </c>
    </row>
    <row r="106" spans="1:14">
      <c r="A106" s="20">
        <v>45403</v>
      </c>
      <c r="B106" t="s">
        <v>104</v>
      </c>
      <c r="C106" t="s">
        <v>93</v>
      </c>
      <c r="D106" t="s">
        <v>111</v>
      </c>
      <c r="E106">
        <v>33</v>
      </c>
      <c r="F106">
        <v>191</v>
      </c>
      <c r="G106">
        <v>100</v>
      </c>
      <c r="H106">
        <v>55</v>
      </c>
      <c r="I106" s="11">
        <v>19100</v>
      </c>
      <c r="J106" s="11">
        <v>10505</v>
      </c>
      <c r="K106" s="11">
        <v>8595</v>
      </c>
      <c r="L106" t="s">
        <v>81</v>
      </c>
      <c r="M106" t="s">
        <v>116</v>
      </c>
      <c r="N106" t="s">
        <v>124</v>
      </c>
    </row>
    <row r="107" spans="1:14">
      <c r="A107" s="20">
        <v>45366</v>
      </c>
      <c r="B107" t="s">
        <v>103</v>
      </c>
      <c r="C107" t="s">
        <v>94</v>
      </c>
      <c r="D107" t="s">
        <v>110</v>
      </c>
      <c r="E107">
        <v>33</v>
      </c>
      <c r="F107">
        <v>87</v>
      </c>
      <c r="G107">
        <v>80</v>
      </c>
      <c r="H107">
        <v>45</v>
      </c>
      <c r="I107" s="11">
        <v>6960</v>
      </c>
      <c r="J107" s="11">
        <v>3915</v>
      </c>
      <c r="K107" s="11">
        <v>3045</v>
      </c>
      <c r="L107" t="s">
        <v>80</v>
      </c>
      <c r="M107" t="s">
        <v>115</v>
      </c>
      <c r="N107" t="s">
        <v>124</v>
      </c>
    </row>
    <row r="108" spans="1:14">
      <c r="A108" s="20">
        <v>45389</v>
      </c>
      <c r="B108" t="s">
        <v>104</v>
      </c>
      <c r="C108" t="s">
        <v>96</v>
      </c>
      <c r="D108" t="s">
        <v>110</v>
      </c>
      <c r="E108">
        <v>40</v>
      </c>
      <c r="F108">
        <v>101</v>
      </c>
      <c r="G108">
        <v>90</v>
      </c>
      <c r="H108">
        <v>50</v>
      </c>
      <c r="I108" s="11">
        <v>9090</v>
      </c>
      <c r="J108" s="11">
        <v>5050</v>
      </c>
      <c r="K108" s="11">
        <v>4040</v>
      </c>
      <c r="L108" t="s">
        <v>81</v>
      </c>
      <c r="M108" t="s">
        <v>116</v>
      </c>
      <c r="N108" t="s">
        <v>125</v>
      </c>
    </row>
    <row r="109" spans="1:14">
      <c r="A109" s="20">
        <v>45457</v>
      </c>
      <c r="B109" t="s">
        <v>106</v>
      </c>
      <c r="C109" t="s">
        <v>93</v>
      </c>
      <c r="D109" t="s">
        <v>110</v>
      </c>
      <c r="E109">
        <v>34</v>
      </c>
      <c r="F109">
        <v>155</v>
      </c>
      <c r="G109">
        <v>100</v>
      </c>
      <c r="H109">
        <v>55</v>
      </c>
      <c r="I109" s="11">
        <v>15500</v>
      </c>
      <c r="J109" s="11">
        <v>8525</v>
      </c>
      <c r="K109" s="11">
        <v>6975</v>
      </c>
      <c r="L109" t="s">
        <v>83</v>
      </c>
      <c r="M109" t="s">
        <v>116</v>
      </c>
      <c r="N109" t="s">
        <v>124</v>
      </c>
    </row>
    <row r="110" spans="1:14">
      <c r="A110" s="20">
        <v>45372</v>
      </c>
      <c r="B110" t="s">
        <v>103</v>
      </c>
      <c r="C110" t="s">
        <v>97</v>
      </c>
      <c r="D110" t="s">
        <v>112</v>
      </c>
      <c r="E110">
        <v>32</v>
      </c>
      <c r="F110">
        <v>123</v>
      </c>
      <c r="G110">
        <v>130</v>
      </c>
      <c r="H110">
        <v>70</v>
      </c>
      <c r="I110" s="11">
        <v>15990</v>
      </c>
      <c r="J110" s="11">
        <v>8610</v>
      </c>
      <c r="K110" s="11">
        <v>7380</v>
      </c>
      <c r="L110" t="s">
        <v>80</v>
      </c>
      <c r="M110" t="s">
        <v>115</v>
      </c>
      <c r="N110" t="s">
        <v>124</v>
      </c>
    </row>
    <row r="111" spans="1:14">
      <c r="A111" s="20">
        <v>45631</v>
      </c>
      <c r="B111" t="s">
        <v>106</v>
      </c>
      <c r="C111" t="s">
        <v>93</v>
      </c>
      <c r="D111" t="s">
        <v>110</v>
      </c>
      <c r="E111">
        <v>20</v>
      </c>
      <c r="F111">
        <v>22</v>
      </c>
      <c r="G111">
        <v>100</v>
      </c>
      <c r="H111">
        <v>55</v>
      </c>
      <c r="I111" s="11">
        <v>2200</v>
      </c>
      <c r="J111" s="11">
        <v>1210</v>
      </c>
      <c r="K111" s="11">
        <v>990</v>
      </c>
      <c r="L111" t="s">
        <v>89</v>
      </c>
      <c r="M111" t="s">
        <v>118</v>
      </c>
      <c r="N111" t="s">
        <v>122</v>
      </c>
    </row>
    <row r="112" spans="1:14">
      <c r="A112" s="20">
        <v>45402</v>
      </c>
      <c r="B112" t="s">
        <v>103</v>
      </c>
      <c r="C112" t="s">
        <v>94</v>
      </c>
      <c r="D112" t="s">
        <v>110</v>
      </c>
      <c r="E112">
        <v>39</v>
      </c>
      <c r="F112">
        <v>167</v>
      </c>
      <c r="G112">
        <v>80</v>
      </c>
      <c r="H112">
        <v>45</v>
      </c>
      <c r="I112" s="11">
        <v>13360</v>
      </c>
      <c r="J112" s="11">
        <v>7515</v>
      </c>
      <c r="K112" s="11">
        <v>5845</v>
      </c>
      <c r="L112" t="s">
        <v>81</v>
      </c>
      <c r="M112" t="s">
        <v>116</v>
      </c>
      <c r="N112" t="s">
        <v>125</v>
      </c>
    </row>
    <row r="113" spans="1:14">
      <c r="A113" s="20">
        <v>45651</v>
      </c>
      <c r="B113" t="s">
        <v>104</v>
      </c>
      <c r="C113" t="s">
        <v>95</v>
      </c>
      <c r="D113" t="s">
        <v>112</v>
      </c>
      <c r="E113">
        <v>19</v>
      </c>
      <c r="F113">
        <v>36</v>
      </c>
      <c r="G113">
        <v>110</v>
      </c>
      <c r="H113">
        <v>60</v>
      </c>
      <c r="I113" s="11">
        <v>3960</v>
      </c>
      <c r="J113" s="11">
        <v>2160</v>
      </c>
      <c r="K113" s="11">
        <v>1800</v>
      </c>
      <c r="L113" t="s">
        <v>89</v>
      </c>
      <c r="M113" t="s">
        <v>118</v>
      </c>
      <c r="N113" t="s">
        <v>122</v>
      </c>
    </row>
    <row r="114" spans="1:14">
      <c r="A114" s="20">
        <v>45352</v>
      </c>
      <c r="B114" t="s">
        <v>103</v>
      </c>
      <c r="C114" t="s">
        <v>94</v>
      </c>
      <c r="D114" t="s">
        <v>110</v>
      </c>
      <c r="E114">
        <v>41</v>
      </c>
      <c r="F114">
        <v>141</v>
      </c>
      <c r="G114">
        <v>80</v>
      </c>
      <c r="H114">
        <v>45</v>
      </c>
      <c r="I114" s="11">
        <v>11280</v>
      </c>
      <c r="J114" s="11">
        <v>6345</v>
      </c>
      <c r="K114" s="11">
        <v>4935</v>
      </c>
      <c r="L114" t="s">
        <v>80</v>
      </c>
      <c r="M114" t="s">
        <v>115</v>
      </c>
      <c r="N114" t="s">
        <v>125</v>
      </c>
    </row>
    <row r="115" spans="1:14">
      <c r="A115" s="20">
        <v>45608</v>
      </c>
      <c r="B115" t="s">
        <v>104</v>
      </c>
      <c r="C115" t="s">
        <v>94</v>
      </c>
      <c r="D115" t="s">
        <v>111</v>
      </c>
      <c r="E115">
        <v>27</v>
      </c>
      <c r="F115">
        <v>21</v>
      </c>
      <c r="G115">
        <v>80</v>
      </c>
      <c r="H115">
        <v>45</v>
      </c>
      <c r="I115" s="11">
        <v>1680</v>
      </c>
      <c r="J115" s="11">
        <v>945</v>
      </c>
      <c r="K115" s="11">
        <v>735</v>
      </c>
      <c r="L115" t="s">
        <v>88</v>
      </c>
      <c r="M115" t="s">
        <v>118</v>
      </c>
      <c r="N115" t="s">
        <v>123</v>
      </c>
    </row>
    <row r="116" spans="1:14">
      <c r="A116" s="20">
        <v>45337</v>
      </c>
      <c r="B116" t="s">
        <v>104</v>
      </c>
      <c r="C116" t="s">
        <v>93</v>
      </c>
      <c r="D116" t="s">
        <v>111</v>
      </c>
      <c r="E116">
        <v>34</v>
      </c>
      <c r="F116">
        <v>102</v>
      </c>
      <c r="G116">
        <v>100</v>
      </c>
      <c r="H116">
        <v>55</v>
      </c>
      <c r="I116" s="11">
        <v>10200</v>
      </c>
      <c r="J116" s="11">
        <v>5610</v>
      </c>
      <c r="K116" s="11">
        <v>4590</v>
      </c>
      <c r="L116" t="s">
        <v>79</v>
      </c>
      <c r="M116" t="s">
        <v>115</v>
      </c>
      <c r="N116" t="s">
        <v>124</v>
      </c>
    </row>
    <row r="117" spans="1:14">
      <c r="A117" s="20">
        <v>45338</v>
      </c>
      <c r="B117" t="s">
        <v>103</v>
      </c>
      <c r="C117" t="s">
        <v>96</v>
      </c>
      <c r="D117" t="s">
        <v>112</v>
      </c>
      <c r="E117">
        <v>26</v>
      </c>
      <c r="F117">
        <v>92</v>
      </c>
      <c r="G117">
        <v>90</v>
      </c>
      <c r="H117">
        <v>50</v>
      </c>
      <c r="I117" s="11">
        <v>8280</v>
      </c>
      <c r="J117" s="11">
        <v>4600</v>
      </c>
      <c r="K117" s="11">
        <v>3680</v>
      </c>
      <c r="L117" t="s">
        <v>79</v>
      </c>
      <c r="M117" t="s">
        <v>115</v>
      </c>
      <c r="N117" t="s">
        <v>123</v>
      </c>
    </row>
    <row r="118" spans="1:14">
      <c r="A118" s="20">
        <v>45317</v>
      </c>
      <c r="B118" t="s">
        <v>103</v>
      </c>
      <c r="C118" t="s">
        <v>98</v>
      </c>
      <c r="D118" t="s">
        <v>111</v>
      </c>
      <c r="E118">
        <v>25</v>
      </c>
      <c r="F118">
        <v>24</v>
      </c>
      <c r="G118">
        <v>100</v>
      </c>
      <c r="H118">
        <v>55</v>
      </c>
      <c r="I118" s="11">
        <v>2400</v>
      </c>
      <c r="J118" s="11">
        <v>1320</v>
      </c>
      <c r="K118" s="11">
        <v>1080</v>
      </c>
      <c r="L118" t="s">
        <v>78</v>
      </c>
      <c r="M118" t="s">
        <v>115</v>
      </c>
      <c r="N118" t="s">
        <v>123</v>
      </c>
    </row>
    <row r="119" spans="1:14">
      <c r="A119" s="20">
        <v>45505</v>
      </c>
      <c r="B119" t="s">
        <v>105</v>
      </c>
      <c r="C119" t="s">
        <v>94</v>
      </c>
      <c r="D119" t="s">
        <v>111</v>
      </c>
      <c r="E119">
        <v>33</v>
      </c>
      <c r="F119">
        <v>31</v>
      </c>
      <c r="G119">
        <v>80</v>
      </c>
      <c r="H119">
        <v>45</v>
      </c>
      <c r="I119" s="11">
        <v>2480</v>
      </c>
      <c r="J119" s="11">
        <v>1395</v>
      </c>
      <c r="K119" s="11">
        <v>1085</v>
      </c>
      <c r="L119" t="s">
        <v>85</v>
      </c>
      <c r="M119" t="s">
        <v>117</v>
      </c>
      <c r="N119" t="s">
        <v>124</v>
      </c>
    </row>
    <row r="120" spans="1:14">
      <c r="A120" s="20">
        <v>45298</v>
      </c>
      <c r="B120" t="s">
        <v>106</v>
      </c>
      <c r="C120" t="s">
        <v>95</v>
      </c>
      <c r="D120" t="s">
        <v>111</v>
      </c>
      <c r="E120">
        <v>19</v>
      </c>
      <c r="F120">
        <v>54</v>
      </c>
      <c r="G120">
        <v>110</v>
      </c>
      <c r="H120">
        <v>60</v>
      </c>
      <c r="I120" s="11">
        <v>5940</v>
      </c>
      <c r="J120" s="11">
        <v>3240</v>
      </c>
      <c r="K120" s="11">
        <v>2700</v>
      </c>
      <c r="L120" t="s">
        <v>78</v>
      </c>
      <c r="M120" t="s">
        <v>115</v>
      </c>
      <c r="N120" t="s">
        <v>122</v>
      </c>
    </row>
    <row r="121" spans="1:14">
      <c r="A121" s="20">
        <v>45585</v>
      </c>
      <c r="B121" t="s">
        <v>103</v>
      </c>
      <c r="C121" t="s">
        <v>96</v>
      </c>
      <c r="D121" t="s">
        <v>110</v>
      </c>
      <c r="E121">
        <v>32</v>
      </c>
      <c r="F121">
        <v>57</v>
      </c>
      <c r="G121">
        <v>90</v>
      </c>
      <c r="H121">
        <v>50</v>
      </c>
      <c r="I121" s="11">
        <v>5130</v>
      </c>
      <c r="J121" s="11">
        <v>2850</v>
      </c>
      <c r="K121" s="11">
        <v>2280</v>
      </c>
      <c r="L121" t="s">
        <v>87</v>
      </c>
      <c r="M121" t="s">
        <v>118</v>
      </c>
      <c r="N121" t="s">
        <v>124</v>
      </c>
    </row>
    <row r="122" spans="1:14">
      <c r="A122" s="20">
        <v>45564</v>
      </c>
      <c r="B122" t="s">
        <v>103</v>
      </c>
      <c r="C122" t="s">
        <v>94</v>
      </c>
      <c r="D122" t="s">
        <v>110</v>
      </c>
      <c r="E122">
        <v>29</v>
      </c>
      <c r="F122">
        <v>46</v>
      </c>
      <c r="G122">
        <v>80</v>
      </c>
      <c r="H122">
        <v>45</v>
      </c>
      <c r="I122" s="11">
        <v>3680</v>
      </c>
      <c r="J122" s="11">
        <v>2070</v>
      </c>
      <c r="K122" s="11">
        <v>1610</v>
      </c>
      <c r="L122" t="s">
        <v>86</v>
      </c>
      <c r="M122" t="s">
        <v>117</v>
      </c>
      <c r="N122" t="s">
        <v>123</v>
      </c>
    </row>
    <row r="123" spans="1:14">
      <c r="A123" s="20">
        <v>45316</v>
      </c>
      <c r="B123" t="s">
        <v>105</v>
      </c>
      <c r="C123" t="s">
        <v>95</v>
      </c>
      <c r="D123" t="s">
        <v>110</v>
      </c>
      <c r="E123">
        <v>21</v>
      </c>
      <c r="F123">
        <v>56</v>
      </c>
      <c r="G123">
        <v>110</v>
      </c>
      <c r="H123">
        <v>60</v>
      </c>
      <c r="I123" s="11">
        <v>6160</v>
      </c>
      <c r="J123" s="11">
        <v>3360</v>
      </c>
      <c r="K123" s="11">
        <v>2800</v>
      </c>
      <c r="L123" t="s">
        <v>78</v>
      </c>
      <c r="M123" t="s">
        <v>115</v>
      </c>
      <c r="N123" t="s">
        <v>122</v>
      </c>
    </row>
    <row r="124" spans="1:14">
      <c r="A124" s="20">
        <v>45402</v>
      </c>
      <c r="B124" t="s">
        <v>104</v>
      </c>
      <c r="C124" t="s">
        <v>95</v>
      </c>
      <c r="D124" t="s">
        <v>111</v>
      </c>
      <c r="E124">
        <v>41</v>
      </c>
      <c r="F124">
        <v>132</v>
      </c>
      <c r="G124">
        <v>110</v>
      </c>
      <c r="H124">
        <v>60</v>
      </c>
      <c r="I124" s="11">
        <v>14520</v>
      </c>
      <c r="J124" s="11">
        <v>7920</v>
      </c>
      <c r="K124" s="11">
        <v>6600</v>
      </c>
      <c r="L124" t="s">
        <v>81</v>
      </c>
      <c r="M124" t="s">
        <v>116</v>
      </c>
      <c r="N124" t="s">
        <v>125</v>
      </c>
    </row>
    <row r="125" spans="1:14">
      <c r="A125" s="20">
        <v>45392</v>
      </c>
      <c r="B125" t="s">
        <v>105</v>
      </c>
      <c r="C125" t="s">
        <v>93</v>
      </c>
      <c r="D125" t="s">
        <v>111</v>
      </c>
      <c r="E125">
        <v>37</v>
      </c>
      <c r="F125">
        <v>108</v>
      </c>
      <c r="G125">
        <v>100</v>
      </c>
      <c r="H125">
        <v>55</v>
      </c>
      <c r="I125" s="11">
        <v>10800</v>
      </c>
      <c r="J125" s="11">
        <v>5940</v>
      </c>
      <c r="K125" s="11">
        <v>4860</v>
      </c>
      <c r="L125" t="s">
        <v>81</v>
      </c>
      <c r="M125" t="s">
        <v>116</v>
      </c>
      <c r="N125" t="s">
        <v>125</v>
      </c>
    </row>
    <row r="126" spans="1:14">
      <c r="A126" s="20">
        <v>45520</v>
      </c>
      <c r="B126" t="s">
        <v>103</v>
      </c>
      <c r="C126" t="s">
        <v>97</v>
      </c>
      <c r="D126" t="s">
        <v>110</v>
      </c>
      <c r="E126">
        <v>32</v>
      </c>
      <c r="F126">
        <v>99</v>
      </c>
      <c r="G126">
        <v>130</v>
      </c>
      <c r="H126">
        <v>70</v>
      </c>
      <c r="I126" s="11">
        <v>12870</v>
      </c>
      <c r="J126" s="11">
        <v>6930</v>
      </c>
      <c r="K126" s="11">
        <v>5940</v>
      </c>
      <c r="L126" t="s">
        <v>85</v>
      </c>
      <c r="M126" t="s">
        <v>117</v>
      </c>
      <c r="N126" t="s">
        <v>124</v>
      </c>
    </row>
    <row r="127" spans="1:14">
      <c r="A127" s="20">
        <v>45403</v>
      </c>
      <c r="B127" t="s">
        <v>103</v>
      </c>
      <c r="C127" t="s">
        <v>94</v>
      </c>
      <c r="D127" t="s">
        <v>110</v>
      </c>
      <c r="E127">
        <v>39</v>
      </c>
      <c r="F127">
        <v>144</v>
      </c>
      <c r="G127">
        <v>80</v>
      </c>
      <c r="H127">
        <v>45</v>
      </c>
      <c r="I127" s="11">
        <v>11520</v>
      </c>
      <c r="J127" s="11">
        <v>6480</v>
      </c>
      <c r="K127" s="11">
        <v>5040</v>
      </c>
      <c r="L127" t="s">
        <v>81</v>
      </c>
      <c r="M127" t="s">
        <v>116</v>
      </c>
      <c r="N127" t="s">
        <v>125</v>
      </c>
    </row>
    <row r="128" spans="1:14">
      <c r="A128" s="20">
        <v>45602</v>
      </c>
      <c r="B128" t="s">
        <v>103</v>
      </c>
      <c r="C128" t="s">
        <v>98</v>
      </c>
      <c r="D128" t="s">
        <v>110</v>
      </c>
      <c r="E128">
        <v>21</v>
      </c>
      <c r="F128">
        <v>46</v>
      </c>
      <c r="G128">
        <v>100</v>
      </c>
      <c r="H128">
        <v>55</v>
      </c>
      <c r="I128" s="11">
        <v>4600</v>
      </c>
      <c r="J128" s="11">
        <v>2530</v>
      </c>
      <c r="K128" s="11">
        <v>2070</v>
      </c>
      <c r="L128" t="s">
        <v>88</v>
      </c>
      <c r="M128" t="s">
        <v>118</v>
      </c>
      <c r="N128" t="s">
        <v>122</v>
      </c>
    </row>
    <row r="129" spans="1:14">
      <c r="A129" s="20">
        <v>45514</v>
      </c>
      <c r="B129" t="s">
        <v>104</v>
      </c>
      <c r="C129" t="s">
        <v>98</v>
      </c>
      <c r="D129" t="s">
        <v>112</v>
      </c>
      <c r="E129">
        <v>31</v>
      </c>
      <c r="F129">
        <v>108</v>
      </c>
      <c r="G129">
        <v>100</v>
      </c>
      <c r="H129">
        <v>55</v>
      </c>
      <c r="I129" s="11">
        <v>10800</v>
      </c>
      <c r="J129" s="11">
        <v>5940</v>
      </c>
      <c r="K129" s="11">
        <v>4860</v>
      </c>
      <c r="L129" t="s">
        <v>85</v>
      </c>
      <c r="M129" t="s">
        <v>117</v>
      </c>
      <c r="N129" t="s">
        <v>124</v>
      </c>
    </row>
    <row r="130" spans="1:14">
      <c r="A130" s="20">
        <v>45409</v>
      </c>
      <c r="B130" t="s">
        <v>103</v>
      </c>
      <c r="C130" t="s">
        <v>93</v>
      </c>
      <c r="D130" t="s">
        <v>111</v>
      </c>
      <c r="E130">
        <v>39</v>
      </c>
      <c r="F130">
        <v>128</v>
      </c>
      <c r="G130">
        <v>100</v>
      </c>
      <c r="H130">
        <v>55</v>
      </c>
      <c r="I130" s="11">
        <v>12800</v>
      </c>
      <c r="J130" s="11">
        <v>7040</v>
      </c>
      <c r="K130" s="11">
        <v>5760</v>
      </c>
      <c r="L130" t="s">
        <v>81</v>
      </c>
      <c r="M130" t="s">
        <v>116</v>
      </c>
      <c r="N130" t="s">
        <v>125</v>
      </c>
    </row>
    <row r="131" spans="1:14">
      <c r="A131" s="20">
        <v>45317</v>
      </c>
      <c r="B131" t="s">
        <v>105</v>
      </c>
      <c r="C131" t="s">
        <v>93</v>
      </c>
      <c r="D131" t="s">
        <v>110</v>
      </c>
      <c r="E131">
        <v>20</v>
      </c>
      <c r="F131">
        <v>13</v>
      </c>
      <c r="G131">
        <v>100</v>
      </c>
      <c r="H131">
        <v>55</v>
      </c>
      <c r="I131" s="11">
        <v>1300</v>
      </c>
      <c r="J131" s="11">
        <v>715</v>
      </c>
      <c r="K131" s="11">
        <v>585</v>
      </c>
      <c r="L131" t="s">
        <v>78</v>
      </c>
      <c r="M131" t="s">
        <v>115</v>
      </c>
      <c r="N131" t="s">
        <v>122</v>
      </c>
    </row>
    <row r="132" spans="1:14">
      <c r="A132" s="20">
        <v>45503</v>
      </c>
      <c r="B132" t="s">
        <v>103</v>
      </c>
      <c r="C132" t="s">
        <v>96</v>
      </c>
      <c r="D132" t="s">
        <v>110</v>
      </c>
      <c r="E132">
        <v>31</v>
      </c>
      <c r="F132">
        <v>43</v>
      </c>
      <c r="G132">
        <v>90</v>
      </c>
      <c r="H132">
        <v>50</v>
      </c>
      <c r="I132" s="11">
        <v>3870</v>
      </c>
      <c r="J132" s="11">
        <v>2150</v>
      </c>
      <c r="K132" s="11">
        <v>1720</v>
      </c>
      <c r="L132" t="s">
        <v>84</v>
      </c>
      <c r="M132" t="s">
        <v>117</v>
      </c>
      <c r="N132" t="s">
        <v>124</v>
      </c>
    </row>
    <row r="133" spans="1:14">
      <c r="A133" s="20">
        <v>45584</v>
      </c>
      <c r="B133" t="s">
        <v>106</v>
      </c>
      <c r="C133" t="s">
        <v>96</v>
      </c>
      <c r="D133" t="s">
        <v>110</v>
      </c>
      <c r="E133">
        <v>26</v>
      </c>
      <c r="F133">
        <v>32</v>
      </c>
      <c r="G133">
        <v>90</v>
      </c>
      <c r="H133">
        <v>50</v>
      </c>
      <c r="I133" s="11">
        <v>2880</v>
      </c>
      <c r="J133" s="11">
        <v>1600</v>
      </c>
      <c r="K133" s="11">
        <v>1280</v>
      </c>
      <c r="L133" t="s">
        <v>87</v>
      </c>
      <c r="M133" t="s">
        <v>118</v>
      </c>
      <c r="N133" t="s">
        <v>123</v>
      </c>
    </row>
    <row r="134" spans="1:14">
      <c r="A134" s="20">
        <v>45469</v>
      </c>
      <c r="B134" t="s">
        <v>104</v>
      </c>
      <c r="C134" t="s">
        <v>93</v>
      </c>
      <c r="D134" t="s">
        <v>111</v>
      </c>
      <c r="E134">
        <v>39</v>
      </c>
      <c r="F134">
        <v>179</v>
      </c>
      <c r="G134">
        <v>100</v>
      </c>
      <c r="H134">
        <v>55</v>
      </c>
      <c r="I134" s="11">
        <v>17900</v>
      </c>
      <c r="J134" s="11">
        <v>9845</v>
      </c>
      <c r="K134" s="11">
        <v>8055</v>
      </c>
      <c r="L134" t="s">
        <v>83</v>
      </c>
      <c r="M134" t="s">
        <v>116</v>
      </c>
      <c r="N134" t="s">
        <v>125</v>
      </c>
    </row>
    <row r="135" spans="1:14">
      <c r="A135" s="20">
        <v>45421</v>
      </c>
      <c r="B135" t="s">
        <v>103</v>
      </c>
      <c r="C135" t="s">
        <v>94</v>
      </c>
      <c r="D135" t="s">
        <v>110</v>
      </c>
      <c r="E135">
        <v>39</v>
      </c>
      <c r="F135">
        <v>58</v>
      </c>
      <c r="G135">
        <v>80</v>
      </c>
      <c r="H135">
        <v>45</v>
      </c>
      <c r="I135" s="11">
        <v>4640</v>
      </c>
      <c r="J135" s="11">
        <v>2610</v>
      </c>
      <c r="K135" s="11">
        <v>2030</v>
      </c>
      <c r="L135" t="s">
        <v>82</v>
      </c>
      <c r="M135" t="s">
        <v>116</v>
      </c>
      <c r="N135" t="s">
        <v>125</v>
      </c>
    </row>
    <row r="136" spans="1:14">
      <c r="A136" s="20">
        <v>45329</v>
      </c>
      <c r="B136" t="s">
        <v>103</v>
      </c>
      <c r="C136" t="s">
        <v>93</v>
      </c>
      <c r="D136" t="s">
        <v>112</v>
      </c>
      <c r="E136">
        <v>27</v>
      </c>
      <c r="F136">
        <v>91</v>
      </c>
      <c r="G136">
        <v>100</v>
      </c>
      <c r="H136">
        <v>55</v>
      </c>
      <c r="I136" s="11">
        <v>9100</v>
      </c>
      <c r="J136" s="11">
        <v>5005</v>
      </c>
      <c r="K136" s="11">
        <v>4095</v>
      </c>
      <c r="L136" t="s">
        <v>79</v>
      </c>
      <c r="M136" t="s">
        <v>115</v>
      </c>
      <c r="N136" t="s">
        <v>123</v>
      </c>
    </row>
    <row r="137" spans="1:14">
      <c r="A137" s="20">
        <v>45625</v>
      </c>
      <c r="B137" t="s">
        <v>106</v>
      </c>
      <c r="C137" t="s">
        <v>97</v>
      </c>
      <c r="D137" t="s">
        <v>110</v>
      </c>
      <c r="E137">
        <v>20</v>
      </c>
      <c r="F137">
        <v>44</v>
      </c>
      <c r="G137">
        <v>130</v>
      </c>
      <c r="H137">
        <v>70</v>
      </c>
      <c r="I137" s="11">
        <v>5720</v>
      </c>
      <c r="J137" s="11">
        <v>3080</v>
      </c>
      <c r="K137" s="11">
        <v>2640</v>
      </c>
      <c r="L137" t="s">
        <v>88</v>
      </c>
      <c r="M137" t="s">
        <v>118</v>
      </c>
      <c r="N137" t="s">
        <v>122</v>
      </c>
    </row>
    <row r="138" spans="1:14">
      <c r="A138" s="20">
        <v>45292</v>
      </c>
      <c r="B138" t="s">
        <v>104</v>
      </c>
      <c r="C138" t="s">
        <v>95</v>
      </c>
      <c r="D138" t="s">
        <v>111</v>
      </c>
      <c r="E138">
        <v>26</v>
      </c>
      <c r="F138">
        <v>17</v>
      </c>
      <c r="G138">
        <v>110</v>
      </c>
      <c r="H138">
        <v>60</v>
      </c>
      <c r="I138" s="11">
        <v>1870</v>
      </c>
      <c r="J138" s="11">
        <v>1020</v>
      </c>
      <c r="K138" s="11">
        <v>850</v>
      </c>
      <c r="L138" t="s">
        <v>78</v>
      </c>
      <c r="M138" t="s">
        <v>115</v>
      </c>
      <c r="N138" t="s">
        <v>123</v>
      </c>
    </row>
    <row r="139" spans="1:14">
      <c r="A139" s="20">
        <v>45520</v>
      </c>
      <c r="B139" t="s">
        <v>103</v>
      </c>
      <c r="C139" t="s">
        <v>94</v>
      </c>
      <c r="D139" t="s">
        <v>110</v>
      </c>
      <c r="E139">
        <v>28</v>
      </c>
      <c r="F139">
        <v>34</v>
      </c>
      <c r="G139">
        <v>80</v>
      </c>
      <c r="H139">
        <v>45</v>
      </c>
      <c r="I139" s="11">
        <v>2720</v>
      </c>
      <c r="J139" s="11">
        <v>1530</v>
      </c>
      <c r="K139" s="11">
        <v>1190</v>
      </c>
      <c r="L139" t="s">
        <v>85</v>
      </c>
      <c r="M139" t="s">
        <v>117</v>
      </c>
      <c r="N139" t="s">
        <v>123</v>
      </c>
    </row>
    <row r="140" spans="1:14">
      <c r="A140" s="20">
        <v>45369</v>
      </c>
      <c r="B140" t="s">
        <v>104</v>
      </c>
      <c r="C140" t="s">
        <v>96</v>
      </c>
      <c r="D140" t="s">
        <v>112</v>
      </c>
      <c r="E140">
        <v>33</v>
      </c>
      <c r="F140">
        <v>138</v>
      </c>
      <c r="G140">
        <v>90</v>
      </c>
      <c r="H140">
        <v>50</v>
      </c>
      <c r="I140" s="11">
        <v>12420</v>
      </c>
      <c r="J140" s="11">
        <v>6900</v>
      </c>
      <c r="K140" s="11">
        <v>5520</v>
      </c>
      <c r="L140" t="s">
        <v>80</v>
      </c>
      <c r="M140" t="s">
        <v>115</v>
      </c>
      <c r="N140" t="s">
        <v>124</v>
      </c>
    </row>
    <row r="141" spans="1:14">
      <c r="A141" s="20">
        <v>45587</v>
      </c>
      <c r="B141" t="s">
        <v>105</v>
      </c>
      <c r="C141" t="s">
        <v>93</v>
      </c>
      <c r="D141" t="s">
        <v>112</v>
      </c>
      <c r="E141">
        <v>26</v>
      </c>
      <c r="F141">
        <v>67</v>
      </c>
      <c r="G141">
        <v>100</v>
      </c>
      <c r="H141">
        <v>55</v>
      </c>
      <c r="I141" s="11">
        <v>6700</v>
      </c>
      <c r="J141" s="11">
        <v>3685</v>
      </c>
      <c r="K141" s="11">
        <v>3015</v>
      </c>
      <c r="L141" t="s">
        <v>87</v>
      </c>
      <c r="M141" t="s">
        <v>118</v>
      </c>
      <c r="N141" t="s">
        <v>123</v>
      </c>
    </row>
    <row r="142" spans="1:14">
      <c r="A142" s="20">
        <v>45314</v>
      </c>
      <c r="B142" t="s">
        <v>104</v>
      </c>
      <c r="C142" t="s">
        <v>93</v>
      </c>
      <c r="D142" t="s">
        <v>110</v>
      </c>
      <c r="E142">
        <v>24</v>
      </c>
      <c r="F142">
        <v>56</v>
      </c>
      <c r="G142">
        <v>100</v>
      </c>
      <c r="H142">
        <v>55</v>
      </c>
      <c r="I142" s="11">
        <v>5600</v>
      </c>
      <c r="J142" s="11">
        <v>3080</v>
      </c>
      <c r="K142" s="11">
        <v>2520</v>
      </c>
      <c r="L142" t="s">
        <v>78</v>
      </c>
      <c r="M142" t="s">
        <v>115</v>
      </c>
      <c r="N142" t="s">
        <v>122</v>
      </c>
    </row>
    <row r="143" spans="1:14">
      <c r="A143" s="20">
        <v>45600</v>
      </c>
      <c r="B143" t="s">
        <v>105</v>
      </c>
      <c r="C143" t="s">
        <v>97</v>
      </c>
      <c r="D143" t="s">
        <v>110</v>
      </c>
      <c r="E143">
        <v>20</v>
      </c>
      <c r="F143">
        <v>15</v>
      </c>
      <c r="G143">
        <v>130</v>
      </c>
      <c r="H143">
        <v>70</v>
      </c>
      <c r="I143" s="11">
        <v>1950</v>
      </c>
      <c r="J143" s="11">
        <v>1050</v>
      </c>
      <c r="K143" s="11">
        <v>900</v>
      </c>
      <c r="L143" t="s">
        <v>88</v>
      </c>
      <c r="M143" t="s">
        <v>118</v>
      </c>
      <c r="N143" t="s">
        <v>122</v>
      </c>
    </row>
    <row r="144" spans="1:14">
      <c r="A144" s="20">
        <v>45470</v>
      </c>
      <c r="B144" t="s">
        <v>103</v>
      </c>
      <c r="C144" t="s">
        <v>93</v>
      </c>
      <c r="D144" t="s">
        <v>111</v>
      </c>
      <c r="E144">
        <v>35</v>
      </c>
      <c r="F144">
        <v>82</v>
      </c>
      <c r="G144">
        <v>100</v>
      </c>
      <c r="H144">
        <v>55</v>
      </c>
      <c r="I144" s="11">
        <v>8200</v>
      </c>
      <c r="J144" s="11">
        <v>4510</v>
      </c>
      <c r="K144" s="11">
        <v>3690</v>
      </c>
      <c r="L144" t="s">
        <v>83</v>
      </c>
      <c r="M144" t="s">
        <v>116</v>
      </c>
      <c r="N144" t="s">
        <v>124</v>
      </c>
    </row>
    <row r="145" spans="1:14">
      <c r="A145" s="20">
        <v>45522</v>
      </c>
      <c r="B145" t="s">
        <v>106</v>
      </c>
      <c r="C145" t="s">
        <v>96</v>
      </c>
      <c r="D145" t="s">
        <v>111</v>
      </c>
      <c r="E145">
        <v>32</v>
      </c>
      <c r="F145">
        <v>56</v>
      </c>
      <c r="G145">
        <v>90</v>
      </c>
      <c r="H145">
        <v>50</v>
      </c>
      <c r="I145" s="11">
        <v>5040</v>
      </c>
      <c r="J145" s="11">
        <v>2800</v>
      </c>
      <c r="K145" s="11">
        <v>2240</v>
      </c>
      <c r="L145" t="s">
        <v>85</v>
      </c>
      <c r="M145" t="s">
        <v>117</v>
      </c>
      <c r="N145" t="s">
        <v>124</v>
      </c>
    </row>
    <row r="146" spans="1:14">
      <c r="A146" s="20">
        <v>45580</v>
      </c>
      <c r="B146" t="s">
        <v>104</v>
      </c>
      <c r="C146" t="s">
        <v>94</v>
      </c>
      <c r="D146" t="s">
        <v>111</v>
      </c>
      <c r="E146">
        <v>26</v>
      </c>
      <c r="F146">
        <v>103</v>
      </c>
      <c r="G146">
        <v>80</v>
      </c>
      <c r="H146">
        <v>45</v>
      </c>
      <c r="I146" s="11">
        <v>8240</v>
      </c>
      <c r="J146" s="11">
        <v>4635</v>
      </c>
      <c r="K146" s="11">
        <v>3605</v>
      </c>
      <c r="L146" t="s">
        <v>87</v>
      </c>
      <c r="M146" t="s">
        <v>118</v>
      </c>
      <c r="N146" t="s">
        <v>123</v>
      </c>
    </row>
    <row r="147" spans="1:14">
      <c r="A147" s="20">
        <v>45409</v>
      </c>
      <c r="B147" t="s">
        <v>103</v>
      </c>
      <c r="C147" t="s">
        <v>98</v>
      </c>
      <c r="D147" t="s">
        <v>111</v>
      </c>
      <c r="E147">
        <v>39</v>
      </c>
      <c r="F147">
        <v>64</v>
      </c>
      <c r="G147">
        <v>100</v>
      </c>
      <c r="H147">
        <v>55</v>
      </c>
      <c r="I147" s="11">
        <v>6400</v>
      </c>
      <c r="J147" s="11">
        <v>3520</v>
      </c>
      <c r="K147" s="11">
        <v>2880</v>
      </c>
      <c r="L147" t="s">
        <v>81</v>
      </c>
      <c r="M147" t="s">
        <v>116</v>
      </c>
      <c r="N147" t="s">
        <v>125</v>
      </c>
    </row>
    <row r="148" spans="1:14">
      <c r="A148" s="20">
        <v>45552</v>
      </c>
      <c r="B148" t="s">
        <v>104</v>
      </c>
      <c r="C148" t="s">
        <v>93</v>
      </c>
      <c r="D148" t="s">
        <v>111</v>
      </c>
      <c r="E148">
        <v>28</v>
      </c>
      <c r="F148">
        <v>56</v>
      </c>
      <c r="G148">
        <v>100</v>
      </c>
      <c r="H148">
        <v>55</v>
      </c>
      <c r="I148" s="11">
        <v>5600</v>
      </c>
      <c r="J148" s="11">
        <v>3080</v>
      </c>
      <c r="K148" s="11">
        <v>2520</v>
      </c>
      <c r="L148" t="s">
        <v>86</v>
      </c>
      <c r="M148" t="s">
        <v>117</v>
      </c>
      <c r="N148" t="s">
        <v>123</v>
      </c>
    </row>
    <row r="149" spans="1:14">
      <c r="A149" s="20">
        <v>45534</v>
      </c>
      <c r="B149" t="s">
        <v>105</v>
      </c>
      <c r="C149" t="s">
        <v>96</v>
      </c>
      <c r="D149" t="s">
        <v>111</v>
      </c>
      <c r="E149">
        <v>33</v>
      </c>
      <c r="F149">
        <v>49</v>
      </c>
      <c r="G149">
        <v>90</v>
      </c>
      <c r="H149">
        <v>50</v>
      </c>
      <c r="I149" s="11">
        <v>4410</v>
      </c>
      <c r="J149" s="11">
        <v>2450</v>
      </c>
      <c r="K149" s="11">
        <v>1960</v>
      </c>
      <c r="L149" t="s">
        <v>85</v>
      </c>
      <c r="M149" t="s">
        <v>117</v>
      </c>
      <c r="N149" t="s">
        <v>124</v>
      </c>
    </row>
    <row r="150" spans="1:14">
      <c r="A150" s="20">
        <v>45329</v>
      </c>
      <c r="B150" t="s">
        <v>104</v>
      </c>
      <c r="C150" t="s">
        <v>94</v>
      </c>
      <c r="D150" t="s">
        <v>110</v>
      </c>
      <c r="E150">
        <v>33</v>
      </c>
      <c r="F150">
        <v>41</v>
      </c>
      <c r="G150">
        <v>80</v>
      </c>
      <c r="H150">
        <v>45</v>
      </c>
      <c r="I150" s="11">
        <v>3280</v>
      </c>
      <c r="J150" s="11">
        <v>1845</v>
      </c>
      <c r="K150" s="11">
        <v>1435</v>
      </c>
      <c r="L150" t="s">
        <v>79</v>
      </c>
      <c r="M150" t="s">
        <v>115</v>
      </c>
      <c r="N150" t="s">
        <v>124</v>
      </c>
    </row>
    <row r="151" spans="1:14">
      <c r="A151" s="20">
        <v>45501</v>
      </c>
      <c r="B151" t="s">
        <v>103</v>
      </c>
      <c r="C151" t="s">
        <v>96</v>
      </c>
      <c r="D151" t="s">
        <v>112</v>
      </c>
      <c r="E151">
        <v>29</v>
      </c>
      <c r="F151">
        <v>105</v>
      </c>
      <c r="G151">
        <v>90</v>
      </c>
      <c r="H151">
        <v>50</v>
      </c>
      <c r="I151" s="11">
        <v>9450</v>
      </c>
      <c r="J151" s="11">
        <v>5250</v>
      </c>
      <c r="K151" s="11">
        <v>4200</v>
      </c>
      <c r="L151" t="s">
        <v>84</v>
      </c>
      <c r="M151" t="s">
        <v>117</v>
      </c>
      <c r="N151" t="s">
        <v>123</v>
      </c>
    </row>
    <row r="152" spans="1:14">
      <c r="A152" s="20">
        <v>45615</v>
      </c>
      <c r="B152" t="s">
        <v>103</v>
      </c>
      <c r="C152" t="s">
        <v>95</v>
      </c>
      <c r="D152" t="s">
        <v>111</v>
      </c>
      <c r="E152">
        <v>27</v>
      </c>
      <c r="F152">
        <v>58</v>
      </c>
      <c r="G152">
        <v>110</v>
      </c>
      <c r="H152">
        <v>60</v>
      </c>
      <c r="I152" s="11">
        <v>6380</v>
      </c>
      <c r="J152" s="11">
        <v>3480</v>
      </c>
      <c r="K152" s="11">
        <v>2900</v>
      </c>
      <c r="L152" t="s">
        <v>88</v>
      </c>
      <c r="M152" t="s">
        <v>118</v>
      </c>
      <c r="N152" t="s">
        <v>123</v>
      </c>
    </row>
    <row r="153" spans="1:14">
      <c r="A153" s="20">
        <v>45342</v>
      </c>
      <c r="B153" t="s">
        <v>106</v>
      </c>
      <c r="C153" t="s">
        <v>95</v>
      </c>
      <c r="D153" t="s">
        <v>112</v>
      </c>
      <c r="E153">
        <v>26</v>
      </c>
      <c r="F153">
        <v>52</v>
      </c>
      <c r="G153">
        <v>110</v>
      </c>
      <c r="H153">
        <v>60</v>
      </c>
      <c r="I153" s="11">
        <v>5720</v>
      </c>
      <c r="J153" s="11">
        <v>3120</v>
      </c>
      <c r="K153" s="11">
        <v>2600</v>
      </c>
      <c r="L153" t="s">
        <v>79</v>
      </c>
      <c r="M153" t="s">
        <v>115</v>
      </c>
      <c r="N153" t="s">
        <v>123</v>
      </c>
    </row>
    <row r="154" spans="1:14">
      <c r="A154" s="20">
        <v>45593</v>
      </c>
      <c r="B154" t="s">
        <v>103</v>
      </c>
      <c r="C154" t="s">
        <v>94</v>
      </c>
      <c r="D154" t="s">
        <v>110</v>
      </c>
      <c r="E154">
        <v>26</v>
      </c>
      <c r="F154">
        <v>86</v>
      </c>
      <c r="G154">
        <v>80</v>
      </c>
      <c r="H154">
        <v>45</v>
      </c>
      <c r="I154" s="11">
        <v>6880</v>
      </c>
      <c r="J154" s="11">
        <v>3870</v>
      </c>
      <c r="K154" s="11">
        <v>3010</v>
      </c>
      <c r="L154" t="s">
        <v>87</v>
      </c>
      <c r="M154" t="s">
        <v>118</v>
      </c>
      <c r="N154" t="s">
        <v>123</v>
      </c>
    </row>
    <row r="155" spans="1:14">
      <c r="A155" s="20">
        <v>45610</v>
      </c>
      <c r="B155" t="s">
        <v>103</v>
      </c>
      <c r="C155" t="s">
        <v>93</v>
      </c>
      <c r="D155" t="s">
        <v>111</v>
      </c>
      <c r="E155">
        <v>26</v>
      </c>
      <c r="F155">
        <v>56</v>
      </c>
      <c r="G155">
        <v>100</v>
      </c>
      <c r="H155">
        <v>55</v>
      </c>
      <c r="I155" s="11">
        <v>5600</v>
      </c>
      <c r="J155" s="11">
        <v>3080</v>
      </c>
      <c r="K155" s="11">
        <v>2520</v>
      </c>
      <c r="L155" t="s">
        <v>88</v>
      </c>
      <c r="M155" t="s">
        <v>118</v>
      </c>
      <c r="N155" t="s">
        <v>123</v>
      </c>
    </row>
    <row r="156" spans="1:14">
      <c r="A156" s="20">
        <v>45600</v>
      </c>
      <c r="B156" t="s">
        <v>106</v>
      </c>
      <c r="C156" t="s">
        <v>93</v>
      </c>
      <c r="D156" t="s">
        <v>110</v>
      </c>
      <c r="E156">
        <v>20</v>
      </c>
      <c r="F156">
        <v>50</v>
      </c>
      <c r="G156">
        <v>100</v>
      </c>
      <c r="H156">
        <v>55</v>
      </c>
      <c r="I156" s="11">
        <v>5000</v>
      </c>
      <c r="J156" s="11">
        <v>2750</v>
      </c>
      <c r="K156" s="11">
        <v>2250</v>
      </c>
      <c r="L156" t="s">
        <v>88</v>
      </c>
      <c r="M156" t="s">
        <v>118</v>
      </c>
      <c r="N156" t="s">
        <v>122</v>
      </c>
    </row>
    <row r="157" spans="1:14">
      <c r="A157" s="20">
        <v>45354</v>
      </c>
      <c r="B157" t="s">
        <v>106</v>
      </c>
      <c r="C157" t="s">
        <v>93</v>
      </c>
      <c r="D157" t="s">
        <v>112</v>
      </c>
      <c r="E157">
        <v>33</v>
      </c>
      <c r="F157">
        <v>184</v>
      </c>
      <c r="G157">
        <v>100</v>
      </c>
      <c r="H157">
        <v>55</v>
      </c>
      <c r="I157" s="11">
        <v>18400</v>
      </c>
      <c r="J157" s="11">
        <v>10120</v>
      </c>
      <c r="K157" s="11">
        <v>8280</v>
      </c>
      <c r="L157" t="s">
        <v>80</v>
      </c>
      <c r="M157" t="s">
        <v>115</v>
      </c>
      <c r="N157" t="s">
        <v>124</v>
      </c>
    </row>
    <row r="158" spans="1:14">
      <c r="A158" s="20">
        <v>45638</v>
      </c>
      <c r="B158" t="s">
        <v>103</v>
      </c>
      <c r="C158" t="s">
        <v>93</v>
      </c>
      <c r="D158" t="s">
        <v>110</v>
      </c>
      <c r="E158">
        <v>26</v>
      </c>
      <c r="F158">
        <v>33</v>
      </c>
      <c r="G158">
        <v>100</v>
      </c>
      <c r="H158">
        <v>55</v>
      </c>
      <c r="I158" s="11">
        <v>3300</v>
      </c>
      <c r="J158" s="11">
        <v>1815</v>
      </c>
      <c r="K158" s="11">
        <v>1485</v>
      </c>
      <c r="L158" t="s">
        <v>89</v>
      </c>
      <c r="M158" t="s">
        <v>118</v>
      </c>
      <c r="N158" t="s">
        <v>123</v>
      </c>
    </row>
    <row r="159" spans="1:14">
      <c r="A159" s="20">
        <v>45471</v>
      </c>
      <c r="B159" t="s">
        <v>106</v>
      </c>
      <c r="C159" t="s">
        <v>93</v>
      </c>
      <c r="D159" t="s">
        <v>110</v>
      </c>
      <c r="E159">
        <v>37</v>
      </c>
      <c r="F159">
        <v>112</v>
      </c>
      <c r="G159">
        <v>100</v>
      </c>
      <c r="H159">
        <v>55</v>
      </c>
      <c r="I159" s="11">
        <v>11200</v>
      </c>
      <c r="J159" s="11">
        <v>6160</v>
      </c>
      <c r="K159" s="11">
        <v>5040</v>
      </c>
      <c r="L159" t="s">
        <v>83</v>
      </c>
      <c r="M159" t="s">
        <v>116</v>
      </c>
      <c r="N159" t="s">
        <v>125</v>
      </c>
    </row>
    <row r="160" spans="1:14">
      <c r="A160" s="20">
        <v>45445</v>
      </c>
      <c r="B160" t="s">
        <v>105</v>
      </c>
      <c r="C160" t="s">
        <v>94</v>
      </c>
      <c r="D160" t="s">
        <v>110</v>
      </c>
      <c r="E160">
        <v>40</v>
      </c>
      <c r="F160">
        <v>133</v>
      </c>
      <c r="G160">
        <v>80</v>
      </c>
      <c r="H160">
        <v>45</v>
      </c>
      <c r="I160" s="11">
        <v>10640</v>
      </c>
      <c r="J160" s="11">
        <v>5985</v>
      </c>
      <c r="K160" s="11">
        <v>4655</v>
      </c>
      <c r="L160" t="s">
        <v>83</v>
      </c>
      <c r="M160" t="s">
        <v>116</v>
      </c>
      <c r="N160" t="s">
        <v>125</v>
      </c>
    </row>
    <row r="161" spans="1:14">
      <c r="A161" s="20">
        <v>45468</v>
      </c>
      <c r="B161" t="s">
        <v>106</v>
      </c>
      <c r="C161" t="s">
        <v>96</v>
      </c>
      <c r="D161" t="s">
        <v>111</v>
      </c>
      <c r="E161">
        <v>32</v>
      </c>
      <c r="F161">
        <v>153</v>
      </c>
      <c r="G161">
        <v>90</v>
      </c>
      <c r="H161">
        <v>50</v>
      </c>
      <c r="I161" s="11">
        <v>13770</v>
      </c>
      <c r="J161" s="11">
        <v>7650</v>
      </c>
      <c r="K161" s="11">
        <v>6120</v>
      </c>
      <c r="L161" t="s">
        <v>83</v>
      </c>
      <c r="M161" t="s">
        <v>116</v>
      </c>
      <c r="N161" t="s">
        <v>124</v>
      </c>
    </row>
    <row r="162" spans="1:14">
      <c r="A162" s="20">
        <v>45618</v>
      </c>
      <c r="B162" t="s">
        <v>103</v>
      </c>
      <c r="C162" t="s">
        <v>96</v>
      </c>
      <c r="D162" t="s">
        <v>111</v>
      </c>
      <c r="E162">
        <v>18</v>
      </c>
      <c r="F162">
        <v>28</v>
      </c>
      <c r="G162">
        <v>90</v>
      </c>
      <c r="H162">
        <v>50</v>
      </c>
      <c r="I162" s="11">
        <v>2520</v>
      </c>
      <c r="J162" s="11">
        <v>1400</v>
      </c>
      <c r="K162" s="11">
        <v>1120</v>
      </c>
      <c r="L162" t="s">
        <v>88</v>
      </c>
      <c r="M162" t="s">
        <v>118</v>
      </c>
      <c r="N162" t="s">
        <v>122</v>
      </c>
    </row>
    <row r="163" spans="1:14">
      <c r="A163" s="20">
        <v>45577</v>
      </c>
      <c r="B163" t="s">
        <v>104</v>
      </c>
      <c r="C163" t="s">
        <v>98</v>
      </c>
      <c r="D163" t="s">
        <v>110</v>
      </c>
      <c r="E163">
        <v>27</v>
      </c>
      <c r="F163">
        <v>76</v>
      </c>
      <c r="G163">
        <v>100</v>
      </c>
      <c r="H163">
        <v>55</v>
      </c>
      <c r="I163" s="11">
        <v>7600</v>
      </c>
      <c r="J163" s="11">
        <v>4180</v>
      </c>
      <c r="K163" s="11">
        <v>3420</v>
      </c>
      <c r="L163" t="s">
        <v>87</v>
      </c>
      <c r="M163" t="s">
        <v>118</v>
      </c>
      <c r="N163" t="s">
        <v>123</v>
      </c>
    </row>
    <row r="164" spans="1:14">
      <c r="A164" s="20">
        <v>45485</v>
      </c>
      <c r="B164" t="s">
        <v>104</v>
      </c>
      <c r="C164" t="s">
        <v>96</v>
      </c>
      <c r="D164" t="s">
        <v>110</v>
      </c>
      <c r="E164">
        <v>29</v>
      </c>
      <c r="F164">
        <v>80</v>
      </c>
      <c r="G164">
        <v>90</v>
      </c>
      <c r="H164">
        <v>50</v>
      </c>
      <c r="I164" s="11">
        <v>7200</v>
      </c>
      <c r="J164" s="11">
        <v>4000</v>
      </c>
      <c r="K164" s="11">
        <v>3200</v>
      </c>
      <c r="L164" t="s">
        <v>84</v>
      </c>
      <c r="M164" t="s">
        <v>117</v>
      </c>
      <c r="N164" t="s">
        <v>123</v>
      </c>
    </row>
    <row r="165" spans="1:14">
      <c r="A165" s="20">
        <v>45555</v>
      </c>
      <c r="B165" t="s">
        <v>106</v>
      </c>
      <c r="C165" t="s">
        <v>98</v>
      </c>
      <c r="D165" t="s">
        <v>110</v>
      </c>
      <c r="E165">
        <v>28</v>
      </c>
      <c r="F165">
        <v>103</v>
      </c>
      <c r="G165">
        <v>100</v>
      </c>
      <c r="H165">
        <v>55</v>
      </c>
      <c r="I165" s="11">
        <v>10300</v>
      </c>
      <c r="J165" s="11">
        <v>5665</v>
      </c>
      <c r="K165" s="11">
        <v>4635</v>
      </c>
      <c r="L165" t="s">
        <v>86</v>
      </c>
      <c r="M165" t="s">
        <v>117</v>
      </c>
      <c r="N165" t="s">
        <v>123</v>
      </c>
    </row>
    <row r="166" spans="1:14">
      <c r="A166" s="20">
        <v>45657</v>
      </c>
      <c r="B166" t="s">
        <v>106</v>
      </c>
      <c r="C166" t="s">
        <v>96</v>
      </c>
      <c r="D166" t="s">
        <v>112</v>
      </c>
      <c r="E166">
        <v>19</v>
      </c>
      <c r="F166">
        <v>41</v>
      </c>
      <c r="G166">
        <v>90</v>
      </c>
      <c r="H166">
        <v>50</v>
      </c>
      <c r="I166" s="11">
        <v>3690</v>
      </c>
      <c r="J166" s="11">
        <v>2050</v>
      </c>
      <c r="K166" s="11">
        <v>1640</v>
      </c>
      <c r="L166" t="s">
        <v>89</v>
      </c>
      <c r="M166" t="s">
        <v>118</v>
      </c>
      <c r="N166" t="s">
        <v>122</v>
      </c>
    </row>
    <row r="167" spans="1:14">
      <c r="A167" s="20">
        <v>45640</v>
      </c>
      <c r="B167" t="s">
        <v>104</v>
      </c>
      <c r="C167" t="s">
        <v>93</v>
      </c>
      <c r="D167" t="s">
        <v>110</v>
      </c>
      <c r="E167">
        <v>25</v>
      </c>
      <c r="F167">
        <v>32</v>
      </c>
      <c r="G167">
        <v>100</v>
      </c>
      <c r="H167">
        <v>55</v>
      </c>
      <c r="I167" s="11">
        <v>3200</v>
      </c>
      <c r="J167" s="11">
        <v>1760</v>
      </c>
      <c r="K167" s="11">
        <v>1440</v>
      </c>
      <c r="L167" t="s">
        <v>89</v>
      </c>
      <c r="M167" t="s">
        <v>118</v>
      </c>
      <c r="N167" t="s">
        <v>123</v>
      </c>
    </row>
    <row r="168" spans="1:14">
      <c r="A168" s="20">
        <v>45345</v>
      </c>
      <c r="B168" t="s">
        <v>104</v>
      </c>
      <c r="C168" t="s">
        <v>93</v>
      </c>
      <c r="D168" t="s">
        <v>112</v>
      </c>
      <c r="E168">
        <v>27</v>
      </c>
      <c r="F168">
        <v>37</v>
      </c>
      <c r="G168">
        <v>100</v>
      </c>
      <c r="H168">
        <v>55</v>
      </c>
      <c r="I168" s="11">
        <v>3700</v>
      </c>
      <c r="J168" s="11">
        <v>2035</v>
      </c>
      <c r="K168" s="11">
        <v>1665</v>
      </c>
      <c r="L168" t="s">
        <v>79</v>
      </c>
      <c r="M168" t="s">
        <v>115</v>
      </c>
      <c r="N168" t="s">
        <v>123</v>
      </c>
    </row>
    <row r="169" spans="1:14">
      <c r="A169" s="20">
        <v>45582</v>
      </c>
      <c r="B169" t="s">
        <v>105</v>
      </c>
      <c r="C169" t="s">
        <v>94</v>
      </c>
      <c r="D169" t="s">
        <v>112</v>
      </c>
      <c r="E169">
        <v>29</v>
      </c>
      <c r="F169">
        <v>45</v>
      </c>
      <c r="G169">
        <v>80</v>
      </c>
      <c r="H169">
        <v>45</v>
      </c>
      <c r="I169" s="11">
        <v>3600</v>
      </c>
      <c r="J169" s="11">
        <v>2025</v>
      </c>
      <c r="K169" s="11">
        <v>1575</v>
      </c>
      <c r="L169" t="s">
        <v>87</v>
      </c>
      <c r="M169" t="s">
        <v>118</v>
      </c>
      <c r="N169" t="s">
        <v>123</v>
      </c>
    </row>
    <row r="170" spans="1:14">
      <c r="A170" s="20">
        <v>45456</v>
      </c>
      <c r="B170" t="s">
        <v>104</v>
      </c>
      <c r="C170" t="s">
        <v>94</v>
      </c>
      <c r="D170" t="s">
        <v>110</v>
      </c>
      <c r="E170">
        <v>41</v>
      </c>
      <c r="F170">
        <v>56</v>
      </c>
      <c r="G170">
        <v>80</v>
      </c>
      <c r="H170">
        <v>45</v>
      </c>
      <c r="I170" s="11">
        <v>4480</v>
      </c>
      <c r="J170" s="11">
        <v>2520</v>
      </c>
      <c r="K170" s="11">
        <v>1960</v>
      </c>
      <c r="L170" t="s">
        <v>83</v>
      </c>
      <c r="M170" t="s">
        <v>116</v>
      </c>
      <c r="N170" t="s">
        <v>125</v>
      </c>
    </row>
    <row r="171" spans="1:14">
      <c r="A171" s="20">
        <v>45554</v>
      </c>
      <c r="B171" t="s">
        <v>106</v>
      </c>
      <c r="C171" t="s">
        <v>95</v>
      </c>
      <c r="D171" t="s">
        <v>110</v>
      </c>
      <c r="E171">
        <v>29</v>
      </c>
      <c r="F171">
        <v>48</v>
      </c>
      <c r="G171">
        <v>110</v>
      </c>
      <c r="H171">
        <v>60</v>
      </c>
      <c r="I171" s="11">
        <v>5280</v>
      </c>
      <c r="J171" s="11">
        <v>2880</v>
      </c>
      <c r="K171" s="11">
        <v>2400</v>
      </c>
      <c r="L171" t="s">
        <v>86</v>
      </c>
      <c r="M171" t="s">
        <v>117</v>
      </c>
      <c r="N171" t="s">
        <v>123</v>
      </c>
    </row>
    <row r="172" spans="1:14">
      <c r="A172" s="20">
        <v>45576</v>
      </c>
      <c r="B172" t="s">
        <v>106</v>
      </c>
      <c r="C172" t="s">
        <v>93</v>
      </c>
      <c r="D172" t="s">
        <v>111</v>
      </c>
      <c r="E172">
        <v>27</v>
      </c>
      <c r="F172">
        <v>49</v>
      </c>
      <c r="G172">
        <v>100</v>
      </c>
      <c r="H172">
        <v>55</v>
      </c>
      <c r="I172" s="11">
        <v>4900</v>
      </c>
      <c r="J172" s="11">
        <v>2695</v>
      </c>
      <c r="K172" s="11">
        <v>2205</v>
      </c>
      <c r="L172" t="s">
        <v>87</v>
      </c>
      <c r="M172" t="s">
        <v>118</v>
      </c>
      <c r="N172" t="s">
        <v>123</v>
      </c>
    </row>
    <row r="173" spans="1:14">
      <c r="A173" s="20">
        <v>45486</v>
      </c>
      <c r="B173" t="s">
        <v>103</v>
      </c>
      <c r="C173" t="s">
        <v>96</v>
      </c>
      <c r="D173" t="s">
        <v>111</v>
      </c>
      <c r="E173">
        <v>34</v>
      </c>
      <c r="F173">
        <v>67</v>
      </c>
      <c r="G173">
        <v>90</v>
      </c>
      <c r="H173">
        <v>50</v>
      </c>
      <c r="I173" s="11">
        <v>6030</v>
      </c>
      <c r="J173" s="11">
        <v>3350</v>
      </c>
      <c r="K173" s="11">
        <v>2680</v>
      </c>
      <c r="L173" t="s">
        <v>84</v>
      </c>
      <c r="M173" t="s">
        <v>117</v>
      </c>
      <c r="N173" t="s">
        <v>124</v>
      </c>
    </row>
    <row r="174" spans="1:14">
      <c r="A174" s="20">
        <v>45517</v>
      </c>
      <c r="B174" t="s">
        <v>103</v>
      </c>
      <c r="C174" t="s">
        <v>98</v>
      </c>
      <c r="D174" t="s">
        <v>112</v>
      </c>
      <c r="E174">
        <v>26</v>
      </c>
      <c r="F174">
        <v>53</v>
      </c>
      <c r="G174">
        <v>100</v>
      </c>
      <c r="H174">
        <v>55</v>
      </c>
      <c r="I174" s="11">
        <v>5300</v>
      </c>
      <c r="J174" s="11">
        <v>2915</v>
      </c>
      <c r="K174" s="11">
        <v>2385</v>
      </c>
      <c r="L174" t="s">
        <v>85</v>
      </c>
      <c r="M174" t="s">
        <v>117</v>
      </c>
      <c r="N174" t="s">
        <v>123</v>
      </c>
    </row>
    <row r="175" spans="1:14">
      <c r="A175" s="20">
        <v>45493</v>
      </c>
      <c r="B175" t="s">
        <v>106</v>
      </c>
      <c r="C175" t="s">
        <v>96</v>
      </c>
      <c r="D175" t="s">
        <v>110</v>
      </c>
      <c r="E175">
        <v>34</v>
      </c>
      <c r="F175">
        <v>43</v>
      </c>
      <c r="G175">
        <v>90</v>
      </c>
      <c r="H175">
        <v>50</v>
      </c>
      <c r="I175" s="11">
        <v>3870</v>
      </c>
      <c r="J175" s="11">
        <v>2150</v>
      </c>
      <c r="K175" s="11">
        <v>1720</v>
      </c>
      <c r="L175" t="s">
        <v>84</v>
      </c>
      <c r="M175" t="s">
        <v>117</v>
      </c>
      <c r="N175" t="s">
        <v>124</v>
      </c>
    </row>
    <row r="176" spans="1:14">
      <c r="A176" s="20">
        <v>45331</v>
      </c>
      <c r="B176" t="s">
        <v>104</v>
      </c>
      <c r="C176" t="s">
        <v>95</v>
      </c>
      <c r="D176" t="s">
        <v>110</v>
      </c>
      <c r="E176">
        <v>29</v>
      </c>
      <c r="F176">
        <v>51</v>
      </c>
      <c r="G176">
        <v>110</v>
      </c>
      <c r="H176">
        <v>60</v>
      </c>
      <c r="I176" s="11">
        <v>5610</v>
      </c>
      <c r="J176" s="11">
        <v>3060</v>
      </c>
      <c r="K176" s="11">
        <v>2550</v>
      </c>
      <c r="L176" t="s">
        <v>79</v>
      </c>
      <c r="M176" t="s">
        <v>115</v>
      </c>
      <c r="N176" t="s">
        <v>123</v>
      </c>
    </row>
    <row r="177" spans="1:14">
      <c r="A177" s="20">
        <v>45445</v>
      </c>
      <c r="B177" t="s">
        <v>103</v>
      </c>
      <c r="C177" t="s">
        <v>96</v>
      </c>
      <c r="D177" t="s">
        <v>110</v>
      </c>
      <c r="E177">
        <v>37</v>
      </c>
      <c r="F177">
        <v>124</v>
      </c>
      <c r="G177">
        <v>90</v>
      </c>
      <c r="H177">
        <v>50</v>
      </c>
      <c r="I177" s="11">
        <v>11160</v>
      </c>
      <c r="J177" s="11">
        <v>6200</v>
      </c>
      <c r="K177" s="11">
        <v>4960</v>
      </c>
      <c r="L177" t="s">
        <v>83</v>
      </c>
      <c r="M177" t="s">
        <v>116</v>
      </c>
      <c r="N177" t="s">
        <v>125</v>
      </c>
    </row>
    <row r="178" spans="1:14">
      <c r="A178" s="20">
        <v>45437</v>
      </c>
      <c r="B178" t="s">
        <v>106</v>
      </c>
      <c r="C178" t="s">
        <v>96</v>
      </c>
      <c r="D178" t="s">
        <v>110</v>
      </c>
      <c r="E178">
        <v>32</v>
      </c>
      <c r="F178">
        <v>83</v>
      </c>
      <c r="G178">
        <v>90</v>
      </c>
      <c r="H178">
        <v>50</v>
      </c>
      <c r="I178" s="11">
        <v>7470</v>
      </c>
      <c r="J178" s="11">
        <v>4150</v>
      </c>
      <c r="K178" s="11">
        <v>3320</v>
      </c>
      <c r="L178" t="s">
        <v>82</v>
      </c>
      <c r="M178" t="s">
        <v>116</v>
      </c>
      <c r="N178" t="s">
        <v>124</v>
      </c>
    </row>
    <row r="179" spans="1:14">
      <c r="A179" s="20">
        <v>45456</v>
      </c>
      <c r="B179" t="s">
        <v>106</v>
      </c>
      <c r="C179" t="s">
        <v>95</v>
      </c>
      <c r="D179" t="s">
        <v>110</v>
      </c>
      <c r="E179">
        <v>37</v>
      </c>
      <c r="F179">
        <v>155</v>
      </c>
      <c r="G179">
        <v>110</v>
      </c>
      <c r="H179">
        <v>60</v>
      </c>
      <c r="I179" s="11">
        <v>17050</v>
      </c>
      <c r="J179" s="11">
        <v>9300</v>
      </c>
      <c r="K179" s="11">
        <v>7750</v>
      </c>
      <c r="L179" t="s">
        <v>83</v>
      </c>
      <c r="M179" t="s">
        <v>116</v>
      </c>
      <c r="N179" t="s">
        <v>125</v>
      </c>
    </row>
    <row r="180" spans="1:14">
      <c r="A180" s="20">
        <v>45318</v>
      </c>
      <c r="B180" t="s">
        <v>106</v>
      </c>
      <c r="C180" t="s">
        <v>97</v>
      </c>
      <c r="D180" t="s">
        <v>111</v>
      </c>
      <c r="E180">
        <v>26</v>
      </c>
      <c r="F180">
        <v>21</v>
      </c>
      <c r="G180">
        <v>130</v>
      </c>
      <c r="H180">
        <v>70</v>
      </c>
      <c r="I180" s="11">
        <v>2730</v>
      </c>
      <c r="J180" s="11">
        <v>1470</v>
      </c>
      <c r="K180" s="11">
        <v>1260</v>
      </c>
      <c r="L180" t="s">
        <v>78</v>
      </c>
      <c r="M180" t="s">
        <v>115</v>
      </c>
      <c r="N180" t="s">
        <v>123</v>
      </c>
    </row>
    <row r="181" spans="1:14">
      <c r="A181" s="20">
        <v>45600</v>
      </c>
      <c r="B181" t="s">
        <v>106</v>
      </c>
      <c r="C181" t="s">
        <v>94</v>
      </c>
      <c r="D181" t="s">
        <v>110</v>
      </c>
      <c r="E181">
        <v>27</v>
      </c>
      <c r="F181">
        <v>37</v>
      </c>
      <c r="G181">
        <v>80</v>
      </c>
      <c r="H181">
        <v>45</v>
      </c>
      <c r="I181" s="11">
        <v>2960</v>
      </c>
      <c r="J181" s="11">
        <v>1665</v>
      </c>
      <c r="K181" s="11">
        <v>1295</v>
      </c>
      <c r="L181" t="s">
        <v>88</v>
      </c>
      <c r="M181" t="s">
        <v>118</v>
      </c>
      <c r="N181" t="s">
        <v>123</v>
      </c>
    </row>
    <row r="182" spans="1:14">
      <c r="A182" s="20">
        <v>45337</v>
      </c>
      <c r="B182" t="s">
        <v>103</v>
      </c>
      <c r="C182" t="s">
        <v>94</v>
      </c>
      <c r="D182" t="s">
        <v>111</v>
      </c>
      <c r="E182">
        <v>30</v>
      </c>
      <c r="F182">
        <v>80</v>
      </c>
      <c r="G182">
        <v>80</v>
      </c>
      <c r="H182">
        <v>45</v>
      </c>
      <c r="I182" s="11">
        <v>6400</v>
      </c>
      <c r="J182" s="11">
        <v>3600</v>
      </c>
      <c r="K182" s="11">
        <v>2800</v>
      </c>
      <c r="L182" t="s">
        <v>79</v>
      </c>
      <c r="M182" t="s">
        <v>115</v>
      </c>
      <c r="N182" t="s">
        <v>123</v>
      </c>
    </row>
    <row r="183" spans="1:14">
      <c r="A183" s="20">
        <v>45583</v>
      </c>
      <c r="B183" t="s">
        <v>103</v>
      </c>
      <c r="C183" t="s">
        <v>95</v>
      </c>
      <c r="D183" t="s">
        <v>111</v>
      </c>
      <c r="E183">
        <v>29</v>
      </c>
      <c r="F183">
        <v>40</v>
      </c>
      <c r="G183">
        <v>110</v>
      </c>
      <c r="H183">
        <v>60</v>
      </c>
      <c r="I183" s="11">
        <v>4400</v>
      </c>
      <c r="J183" s="11">
        <v>2400</v>
      </c>
      <c r="K183" s="11">
        <v>2000</v>
      </c>
      <c r="L183" t="s">
        <v>87</v>
      </c>
      <c r="M183" t="s">
        <v>118</v>
      </c>
      <c r="N183" t="s">
        <v>123</v>
      </c>
    </row>
    <row r="184" spans="1:14">
      <c r="A184" s="20">
        <v>45404</v>
      </c>
      <c r="B184" t="s">
        <v>105</v>
      </c>
      <c r="C184" t="s">
        <v>95</v>
      </c>
      <c r="D184" t="s">
        <v>112</v>
      </c>
      <c r="E184">
        <v>39</v>
      </c>
      <c r="F184">
        <v>104</v>
      </c>
      <c r="G184">
        <v>110</v>
      </c>
      <c r="H184">
        <v>60</v>
      </c>
      <c r="I184" s="11">
        <v>11440</v>
      </c>
      <c r="J184" s="11">
        <v>6240</v>
      </c>
      <c r="K184" s="11">
        <v>5200</v>
      </c>
      <c r="L184" t="s">
        <v>81</v>
      </c>
      <c r="M184" t="s">
        <v>116</v>
      </c>
      <c r="N184" t="s">
        <v>125</v>
      </c>
    </row>
    <row r="185" spans="1:14">
      <c r="A185" s="20">
        <v>45537</v>
      </c>
      <c r="B185" t="s">
        <v>104</v>
      </c>
      <c r="C185" t="s">
        <v>94</v>
      </c>
      <c r="D185" t="s">
        <v>110</v>
      </c>
      <c r="E185">
        <v>28</v>
      </c>
      <c r="F185">
        <v>49</v>
      </c>
      <c r="G185">
        <v>80</v>
      </c>
      <c r="H185">
        <v>45</v>
      </c>
      <c r="I185" s="11">
        <v>3920</v>
      </c>
      <c r="J185" s="11">
        <v>2205</v>
      </c>
      <c r="K185" s="11">
        <v>1715</v>
      </c>
      <c r="L185" t="s">
        <v>86</v>
      </c>
      <c r="M185" t="s">
        <v>117</v>
      </c>
      <c r="N185" t="s">
        <v>123</v>
      </c>
    </row>
    <row r="186" spans="1:14">
      <c r="A186" s="20">
        <v>45518</v>
      </c>
      <c r="B186" t="s">
        <v>106</v>
      </c>
      <c r="C186" t="s">
        <v>98</v>
      </c>
      <c r="D186" t="s">
        <v>112</v>
      </c>
      <c r="E186">
        <v>27</v>
      </c>
      <c r="F186">
        <v>102</v>
      </c>
      <c r="G186">
        <v>100</v>
      </c>
      <c r="H186">
        <v>55</v>
      </c>
      <c r="I186" s="11">
        <v>10200</v>
      </c>
      <c r="J186" s="11">
        <v>5610</v>
      </c>
      <c r="K186" s="11">
        <v>4590</v>
      </c>
      <c r="L186" t="s">
        <v>85</v>
      </c>
      <c r="M186" t="s">
        <v>117</v>
      </c>
      <c r="N186" t="s">
        <v>123</v>
      </c>
    </row>
    <row r="187" spans="1:14">
      <c r="A187" s="20">
        <v>45364</v>
      </c>
      <c r="B187" t="s">
        <v>105</v>
      </c>
      <c r="C187" t="s">
        <v>94</v>
      </c>
      <c r="D187" t="s">
        <v>110</v>
      </c>
      <c r="E187">
        <v>41</v>
      </c>
      <c r="F187">
        <v>153</v>
      </c>
      <c r="G187">
        <v>80</v>
      </c>
      <c r="H187">
        <v>45</v>
      </c>
      <c r="I187" s="11">
        <v>12240</v>
      </c>
      <c r="J187" s="11">
        <v>6885</v>
      </c>
      <c r="K187" s="11">
        <v>5355</v>
      </c>
      <c r="L187" t="s">
        <v>80</v>
      </c>
      <c r="M187" t="s">
        <v>115</v>
      </c>
      <c r="N187" t="s">
        <v>125</v>
      </c>
    </row>
    <row r="188" spans="1:14">
      <c r="A188" s="20">
        <v>45316</v>
      </c>
      <c r="B188" t="s">
        <v>106</v>
      </c>
      <c r="C188" t="s">
        <v>94</v>
      </c>
      <c r="D188" t="s">
        <v>111</v>
      </c>
      <c r="E188">
        <v>20</v>
      </c>
      <c r="F188">
        <v>53</v>
      </c>
      <c r="G188">
        <v>80</v>
      </c>
      <c r="H188">
        <v>45</v>
      </c>
      <c r="I188" s="11">
        <v>4240</v>
      </c>
      <c r="J188" s="11">
        <v>2385</v>
      </c>
      <c r="K188" s="11">
        <v>1855</v>
      </c>
      <c r="L188" t="s">
        <v>78</v>
      </c>
      <c r="M188" t="s">
        <v>115</v>
      </c>
      <c r="N188" t="s">
        <v>122</v>
      </c>
    </row>
    <row r="189" spans="1:14">
      <c r="A189" s="20">
        <v>45393</v>
      </c>
      <c r="B189" t="s">
        <v>104</v>
      </c>
      <c r="C189" t="s">
        <v>96</v>
      </c>
      <c r="D189" t="s">
        <v>110</v>
      </c>
      <c r="E189">
        <v>32</v>
      </c>
      <c r="F189">
        <v>98</v>
      </c>
      <c r="G189">
        <v>90</v>
      </c>
      <c r="H189">
        <v>50</v>
      </c>
      <c r="I189" s="11">
        <v>8820</v>
      </c>
      <c r="J189" s="11">
        <v>4900</v>
      </c>
      <c r="K189" s="11">
        <v>3920</v>
      </c>
      <c r="L189" t="s">
        <v>81</v>
      </c>
      <c r="M189" t="s">
        <v>116</v>
      </c>
      <c r="N189" t="s">
        <v>124</v>
      </c>
    </row>
    <row r="190" spans="1:14">
      <c r="A190" s="20">
        <v>45621</v>
      </c>
      <c r="B190" t="s">
        <v>104</v>
      </c>
      <c r="C190" t="s">
        <v>95</v>
      </c>
      <c r="D190" t="s">
        <v>110</v>
      </c>
      <c r="E190">
        <v>25</v>
      </c>
      <c r="F190">
        <v>25</v>
      </c>
      <c r="G190">
        <v>110</v>
      </c>
      <c r="H190">
        <v>60</v>
      </c>
      <c r="I190" s="11">
        <v>2750</v>
      </c>
      <c r="J190" s="11">
        <v>1500</v>
      </c>
      <c r="K190" s="11">
        <v>1250</v>
      </c>
      <c r="L190" t="s">
        <v>88</v>
      </c>
      <c r="M190" t="s">
        <v>118</v>
      </c>
      <c r="N190" t="s">
        <v>123</v>
      </c>
    </row>
    <row r="191" spans="1:14">
      <c r="A191" s="20">
        <v>45630</v>
      </c>
      <c r="B191" t="s">
        <v>106</v>
      </c>
      <c r="C191" t="s">
        <v>95</v>
      </c>
      <c r="D191" t="s">
        <v>111</v>
      </c>
      <c r="E191">
        <v>23</v>
      </c>
      <c r="F191">
        <v>25</v>
      </c>
      <c r="G191">
        <v>110</v>
      </c>
      <c r="H191">
        <v>60</v>
      </c>
      <c r="I191" s="11">
        <v>2750</v>
      </c>
      <c r="J191" s="11">
        <v>1500</v>
      </c>
      <c r="K191" s="11">
        <v>1250</v>
      </c>
      <c r="L191" t="s">
        <v>89</v>
      </c>
      <c r="M191" t="s">
        <v>118</v>
      </c>
      <c r="N191" t="s">
        <v>122</v>
      </c>
    </row>
    <row r="192" spans="1:14">
      <c r="A192" s="20">
        <v>45491</v>
      </c>
      <c r="B192" t="s">
        <v>104</v>
      </c>
      <c r="C192" t="s">
        <v>94</v>
      </c>
      <c r="D192" t="s">
        <v>110</v>
      </c>
      <c r="E192">
        <v>34</v>
      </c>
      <c r="F192">
        <v>55</v>
      </c>
      <c r="G192">
        <v>80</v>
      </c>
      <c r="H192">
        <v>45</v>
      </c>
      <c r="I192" s="11">
        <v>4400</v>
      </c>
      <c r="J192" s="11">
        <v>2475</v>
      </c>
      <c r="K192" s="11">
        <v>1925</v>
      </c>
      <c r="L192" t="s">
        <v>84</v>
      </c>
      <c r="M192" t="s">
        <v>117</v>
      </c>
      <c r="N192" t="s">
        <v>124</v>
      </c>
    </row>
    <row r="193" spans="1:14">
      <c r="A193" s="20">
        <v>45656</v>
      </c>
      <c r="B193" t="s">
        <v>103</v>
      </c>
      <c r="C193" t="s">
        <v>95</v>
      </c>
      <c r="D193" t="s">
        <v>111</v>
      </c>
      <c r="E193">
        <v>24</v>
      </c>
      <c r="F193">
        <v>26</v>
      </c>
      <c r="G193">
        <v>110</v>
      </c>
      <c r="H193">
        <v>60</v>
      </c>
      <c r="I193" s="11">
        <v>2860</v>
      </c>
      <c r="J193" s="11">
        <v>1560</v>
      </c>
      <c r="K193" s="11">
        <v>1300</v>
      </c>
      <c r="L193" t="s">
        <v>89</v>
      </c>
      <c r="M193" t="s">
        <v>118</v>
      </c>
      <c r="N193" t="s">
        <v>122</v>
      </c>
    </row>
    <row r="194" spans="1:14">
      <c r="A194" s="20">
        <v>45573</v>
      </c>
      <c r="B194" t="s">
        <v>106</v>
      </c>
      <c r="C194" t="s">
        <v>96</v>
      </c>
      <c r="D194" t="s">
        <v>110</v>
      </c>
      <c r="E194">
        <v>34</v>
      </c>
      <c r="F194">
        <v>36</v>
      </c>
      <c r="G194">
        <v>90</v>
      </c>
      <c r="H194">
        <v>50</v>
      </c>
      <c r="I194" s="11">
        <v>3240</v>
      </c>
      <c r="J194" s="11">
        <v>1800</v>
      </c>
      <c r="K194" s="11">
        <v>1440</v>
      </c>
      <c r="L194" t="s">
        <v>87</v>
      </c>
      <c r="M194" t="s">
        <v>118</v>
      </c>
      <c r="N194" t="s">
        <v>124</v>
      </c>
    </row>
    <row r="195" spans="1:14">
      <c r="A195" s="20">
        <v>45467</v>
      </c>
      <c r="B195" t="s">
        <v>104</v>
      </c>
      <c r="C195" t="s">
        <v>94</v>
      </c>
      <c r="D195" t="s">
        <v>111</v>
      </c>
      <c r="E195">
        <v>38</v>
      </c>
      <c r="F195">
        <v>165</v>
      </c>
      <c r="G195">
        <v>80</v>
      </c>
      <c r="H195">
        <v>45</v>
      </c>
      <c r="I195" s="11">
        <v>13200</v>
      </c>
      <c r="J195" s="11">
        <v>7425</v>
      </c>
      <c r="K195" s="11">
        <v>5775</v>
      </c>
      <c r="L195" t="s">
        <v>83</v>
      </c>
      <c r="M195" t="s">
        <v>116</v>
      </c>
      <c r="N195" t="s">
        <v>125</v>
      </c>
    </row>
    <row r="196" spans="1:14">
      <c r="A196" s="20">
        <v>45394</v>
      </c>
      <c r="B196" t="s">
        <v>104</v>
      </c>
      <c r="C196" t="s">
        <v>94</v>
      </c>
      <c r="D196" t="s">
        <v>110</v>
      </c>
      <c r="E196">
        <v>33</v>
      </c>
      <c r="F196">
        <v>94</v>
      </c>
      <c r="G196">
        <v>80</v>
      </c>
      <c r="H196">
        <v>45</v>
      </c>
      <c r="I196" s="11">
        <v>7520</v>
      </c>
      <c r="J196" s="11">
        <v>4230</v>
      </c>
      <c r="K196" s="11">
        <v>3290</v>
      </c>
      <c r="L196" t="s">
        <v>81</v>
      </c>
      <c r="M196" t="s">
        <v>116</v>
      </c>
      <c r="N196" t="s">
        <v>124</v>
      </c>
    </row>
    <row r="197" spans="1:14">
      <c r="A197" s="20">
        <v>45422</v>
      </c>
      <c r="B197" t="s">
        <v>103</v>
      </c>
      <c r="C197" t="s">
        <v>95</v>
      </c>
      <c r="D197" t="s">
        <v>111</v>
      </c>
      <c r="E197">
        <v>38</v>
      </c>
      <c r="F197">
        <v>157</v>
      </c>
      <c r="G197">
        <v>110</v>
      </c>
      <c r="H197">
        <v>60</v>
      </c>
      <c r="I197" s="11">
        <v>17270</v>
      </c>
      <c r="J197" s="11">
        <v>9420</v>
      </c>
      <c r="K197" s="11">
        <v>7850</v>
      </c>
      <c r="L197" t="s">
        <v>82</v>
      </c>
      <c r="M197" t="s">
        <v>116</v>
      </c>
      <c r="N197" t="s">
        <v>125</v>
      </c>
    </row>
    <row r="198" spans="1:14">
      <c r="A198" s="20">
        <v>45306</v>
      </c>
      <c r="B198" t="s">
        <v>104</v>
      </c>
      <c r="C198" t="s">
        <v>98</v>
      </c>
      <c r="D198" t="s">
        <v>111</v>
      </c>
      <c r="E198">
        <v>19</v>
      </c>
      <c r="F198">
        <v>22</v>
      </c>
      <c r="G198">
        <v>100</v>
      </c>
      <c r="H198">
        <v>55</v>
      </c>
      <c r="I198" s="11">
        <v>2200</v>
      </c>
      <c r="J198" s="11">
        <v>1210</v>
      </c>
      <c r="K198" s="11">
        <v>990</v>
      </c>
      <c r="L198" t="s">
        <v>78</v>
      </c>
      <c r="M198" t="s">
        <v>115</v>
      </c>
      <c r="N198" t="s">
        <v>122</v>
      </c>
    </row>
    <row r="199" spans="1:14">
      <c r="A199" s="20">
        <v>45452</v>
      </c>
      <c r="B199" t="s">
        <v>105</v>
      </c>
      <c r="C199" t="s">
        <v>98</v>
      </c>
      <c r="D199" t="s">
        <v>110</v>
      </c>
      <c r="E199">
        <v>34</v>
      </c>
      <c r="F199">
        <v>104</v>
      </c>
      <c r="G199">
        <v>100</v>
      </c>
      <c r="H199">
        <v>55</v>
      </c>
      <c r="I199" s="11">
        <v>10400</v>
      </c>
      <c r="J199" s="11">
        <v>5720</v>
      </c>
      <c r="K199" s="11">
        <v>4680</v>
      </c>
      <c r="L199" t="s">
        <v>83</v>
      </c>
      <c r="M199" t="s">
        <v>116</v>
      </c>
      <c r="N199" t="s">
        <v>124</v>
      </c>
    </row>
    <row r="200" spans="1:14">
      <c r="A200" s="20">
        <v>45461</v>
      </c>
      <c r="B200" t="s">
        <v>103</v>
      </c>
      <c r="C200" t="s">
        <v>97</v>
      </c>
      <c r="D200" t="s">
        <v>110</v>
      </c>
      <c r="E200">
        <v>34</v>
      </c>
      <c r="F200">
        <v>67</v>
      </c>
      <c r="G200">
        <v>130</v>
      </c>
      <c r="H200">
        <v>70</v>
      </c>
      <c r="I200" s="11">
        <v>8710</v>
      </c>
      <c r="J200" s="11">
        <v>4690</v>
      </c>
      <c r="K200" s="11">
        <v>4020</v>
      </c>
      <c r="L200" t="s">
        <v>83</v>
      </c>
      <c r="M200" t="s">
        <v>116</v>
      </c>
      <c r="N200" t="s">
        <v>124</v>
      </c>
    </row>
    <row r="201" spans="1:14">
      <c r="A201" s="20">
        <v>45330</v>
      </c>
      <c r="B201" t="s">
        <v>103</v>
      </c>
      <c r="C201" t="s">
        <v>94</v>
      </c>
      <c r="D201" t="s">
        <v>110</v>
      </c>
      <c r="E201">
        <v>30</v>
      </c>
      <c r="F201">
        <v>91</v>
      </c>
      <c r="G201">
        <v>80</v>
      </c>
      <c r="H201">
        <v>45</v>
      </c>
      <c r="I201" s="11">
        <v>7280</v>
      </c>
      <c r="J201" s="11">
        <v>4095</v>
      </c>
      <c r="K201" s="11">
        <v>3185</v>
      </c>
      <c r="L201" t="s">
        <v>79</v>
      </c>
      <c r="M201" t="s">
        <v>115</v>
      </c>
      <c r="N201" t="s">
        <v>123</v>
      </c>
    </row>
    <row r="202" spans="1:14">
      <c r="A202" s="20">
        <v>45527</v>
      </c>
      <c r="B202" t="s">
        <v>106</v>
      </c>
      <c r="C202" t="s">
        <v>96</v>
      </c>
      <c r="D202" t="s">
        <v>112</v>
      </c>
      <c r="E202">
        <v>34</v>
      </c>
      <c r="F202">
        <v>39</v>
      </c>
      <c r="G202">
        <v>90</v>
      </c>
      <c r="H202">
        <v>50</v>
      </c>
      <c r="I202" s="11">
        <v>3510</v>
      </c>
      <c r="J202" s="11">
        <v>1950</v>
      </c>
      <c r="K202" s="11">
        <v>1560</v>
      </c>
      <c r="L202" t="s">
        <v>85</v>
      </c>
      <c r="M202" t="s">
        <v>117</v>
      </c>
      <c r="N202" t="s">
        <v>124</v>
      </c>
    </row>
    <row r="203" spans="1:14">
      <c r="A203" s="20">
        <v>45650</v>
      </c>
      <c r="B203" t="s">
        <v>105</v>
      </c>
      <c r="C203" t="s">
        <v>96</v>
      </c>
      <c r="D203" t="s">
        <v>110</v>
      </c>
      <c r="E203">
        <v>25</v>
      </c>
      <c r="F203">
        <v>54</v>
      </c>
      <c r="G203">
        <v>90</v>
      </c>
      <c r="H203">
        <v>50</v>
      </c>
      <c r="I203" s="11">
        <v>4860</v>
      </c>
      <c r="J203" s="11">
        <v>2700</v>
      </c>
      <c r="K203" s="11">
        <v>2160</v>
      </c>
      <c r="L203" t="s">
        <v>89</v>
      </c>
      <c r="M203" t="s">
        <v>118</v>
      </c>
      <c r="N203" t="s">
        <v>123</v>
      </c>
    </row>
    <row r="204" spans="1:14">
      <c r="A204" s="20">
        <v>45449</v>
      </c>
      <c r="B204" t="s">
        <v>105</v>
      </c>
      <c r="C204" t="s">
        <v>98</v>
      </c>
      <c r="D204" t="s">
        <v>111</v>
      </c>
      <c r="E204">
        <v>32</v>
      </c>
      <c r="F204">
        <v>122</v>
      </c>
      <c r="G204">
        <v>100</v>
      </c>
      <c r="H204">
        <v>55</v>
      </c>
      <c r="I204" s="11">
        <v>12200</v>
      </c>
      <c r="J204" s="11">
        <v>6710</v>
      </c>
      <c r="K204" s="11">
        <v>5490</v>
      </c>
      <c r="L204" t="s">
        <v>83</v>
      </c>
      <c r="M204" t="s">
        <v>116</v>
      </c>
      <c r="N204" t="s">
        <v>124</v>
      </c>
    </row>
    <row r="205" spans="1:14">
      <c r="A205" s="20">
        <v>45635</v>
      </c>
      <c r="B205" t="s">
        <v>106</v>
      </c>
      <c r="C205" t="s">
        <v>94</v>
      </c>
      <c r="D205" t="s">
        <v>111</v>
      </c>
      <c r="E205">
        <v>23</v>
      </c>
      <c r="F205">
        <v>46</v>
      </c>
      <c r="G205">
        <v>80</v>
      </c>
      <c r="H205">
        <v>45</v>
      </c>
      <c r="I205" s="11">
        <v>3680</v>
      </c>
      <c r="J205" s="11">
        <v>2070</v>
      </c>
      <c r="K205" s="11">
        <v>1610</v>
      </c>
      <c r="L205" t="s">
        <v>89</v>
      </c>
      <c r="M205" t="s">
        <v>118</v>
      </c>
      <c r="N205" t="s">
        <v>122</v>
      </c>
    </row>
    <row r="206" spans="1:14">
      <c r="A206" s="20">
        <v>45586</v>
      </c>
      <c r="B206" t="s">
        <v>106</v>
      </c>
      <c r="C206" t="s">
        <v>98</v>
      </c>
      <c r="D206" t="s">
        <v>110</v>
      </c>
      <c r="E206">
        <v>27</v>
      </c>
      <c r="F206">
        <v>106</v>
      </c>
      <c r="G206">
        <v>100</v>
      </c>
      <c r="H206">
        <v>55</v>
      </c>
      <c r="I206" s="11">
        <v>10600</v>
      </c>
      <c r="J206" s="11">
        <v>5830</v>
      </c>
      <c r="K206" s="11">
        <v>4770</v>
      </c>
      <c r="L206" t="s">
        <v>87</v>
      </c>
      <c r="M206" t="s">
        <v>118</v>
      </c>
      <c r="N206" t="s">
        <v>123</v>
      </c>
    </row>
    <row r="207" spans="1:14">
      <c r="A207" s="20">
        <v>45444</v>
      </c>
      <c r="B207" t="s">
        <v>103</v>
      </c>
      <c r="C207" t="s">
        <v>95</v>
      </c>
      <c r="D207" t="s">
        <v>110</v>
      </c>
      <c r="E207">
        <v>37</v>
      </c>
      <c r="F207">
        <v>142</v>
      </c>
      <c r="G207">
        <v>110</v>
      </c>
      <c r="H207">
        <v>60</v>
      </c>
      <c r="I207" s="11">
        <v>15620</v>
      </c>
      <c r="J207" s="11">
        <v>8520</v>
      </c>
      <c r="K207" s="11">
        <v>7100</v>
      </c>
      <c r="L207" t="s">
        <v>83</v>
      </c>
      <c r="M207" t="s">
        <v>116</v>
      </c>
      <c r="N207" t="s">
        <v>125</v>
      </c>
    </row>
    <row r="208" spans="1:14">
      <c r="A208" s="20">
        <v>45534</v>
      </c>
      <c r="B208" t="s">
        <v>103</v>
      </c>
      <c r="C208" t="s">
        <v>96</v>
      </c>
      <c r="D208" t="s">
        <v>110</v>
      </c>
      <c r="E208">
        <v>26</v>
      </c>
      <c r="F208">
        <v>70</v>
      </c>
      <c r="G208">
        <v>90</v>
      </c>
      <c r="H208">
        <v>50</v>
      </c>
      <c r="I208" s="11">
        <v>6300</v>
      </c>
      <c r="J208" s="11">
        <v>3500</v>
      </c>
      <c r="K208" s="11">
        <v>2800</v>
      </c>
      <c r="L208" t="s">
        <v>85</v>
      </c>
      <c r="M208" t="s">
        <v>117</v>
      </c>
      <c r="N208" t="s">
        <v>123</v>
      </c>
    </row>
    <row r="209" spans="1:14">
      <c r="A209" s="20">
        <v>45550</v>
      </c>
      <c r="B209" t="s">
        <v>106</v>
      </c>
      <c r="C209" t="s">
        <v>98</v>
      </c>
      <c r="D209" t="s">
        <v>111</v>
      </c>
      <c r="E209">
        <v>34</v>
      </c>
      <c r="F209">
        <v>78</v>
      </c>
      <c r="G209">
        <v>100</v>
      </c>
      <c r="H209">
        <v>55</v>
      </c>
      <c r="I209" s="11">
        <v>7800</v>
      </c>
      <c r="J209" s="11">
        <v>4290</v>
      </c>
      <c r="K209" s="11">
        <v>3510</v>
      </c>
      <c r="L209" t="s">
        <v>86</v>
      </c>
      <c r="M209" t="s">
        <v>117</v>
      </c>
      <c r="N209" t="s">
        <v>124</v>
      </c>
    </row>
    <row r="210" spans="1:14">
      <c r="A210" s="20">
        <v>45390</v>
      </c>
      <c r="B210" t="s">
        <v>104</v>
      </c>
      <c r="C210" t="s">
        <v>96</v>
      </c>
      <c r="D210" t="s">
        <v>110</v>
      </c>
      <c r="E210">
        <v>32</v>
      </c>
      <c r="F210">
        <v>131</v>
      </c>
      <c r="G210">
        <v>90</v>
      </c>
      <c r="H210">
        <v>50</v>
      </c>
      <c r="I210" s="11">
        <v>11790</v>
      </c>
      <c r="J210" s="11">
        <v>6550</v>
      </c>
      <c r="K210" s="11">
        <v>5240</v>
      </c>
      <c r="L210" t="s">
        <v>81</v>
      </c>
      <c r="M210" t="s">
        <v>116</v>
      </c>
      <c r="N210" t="s">
        <v>124</v>
      </c>
    </row>
    <row r="211" spans="1:14">
      <c r="A211" s="20">
        <v>45507</v>
      </c>
      <c r="B211" t="s">
        <v>104</v>
      </c>
      <c r="C211" t="s">
        <v>98</v>
      </c>
      <c r="D211" t="s">
        <v>111</v>
      </c>
      <c r="E211">
        <v>29</v>
      </c>
      <c r="F211">
        <v>102</v>
      </c>
      <c r="G211">
        <v>100</v>
      </c>
      <c r="H211">
        <v>55</v>
      </c>
      <c r="I211" s="11">
        <v>10200</v>
      </c>
      <c r="J211" s="11">
        <v>5610</v>
      </c>
      <c r="K211" s="11">
        <v>4590</v>
      </c>
      <c r="L211" t="s">
        <v>85</v>
      </c>
      <c r="M211" t="s">
        <v>117</v>
      </c>
      <c r="N211" t="s">
        <v>123</v>
      </c>
    </row>
    <row r="212" spans="1:14">
      <c r="A212" s="20">
        <v>45648</v>
      </c>
      <c r="B212" t="s">
        <v>106</v>
      </c>
      <c r="C212" t="s">
        <v>94</v>
      </c>
      <c r="D212" t="s">
        <v>110</v>
      </c>
      <c r="E212">
        <v>26</v>
      </c>
      <c r="F212">
        <v>37</v>
      </c>
      <c r="G212">
        <v>80</v>
      </c>
      <c r="H212">
        <v>45</v>
      </c>
      <c r="I212" s="11">
        <v>2960</v>
      </c>
      <c r="J212" s="11">
        <v>1665</v>
      </c>
      <c r="K212" s="11">
        <v>1295</v>
      </c>
      <c r="L212" t="s">
        <v>89</v>
      </c>
      <c r="M212" t="s">
        <v>118</v>
      </c>
      <c r="N212" t="s">
        <v>123</v>
      </c>
    </row>
    <row r="213" spans="1:14">
      <c r="A213" s="20">
        <v>45486</v>
      </c>
      <c r="B213" t="s">
        <v>106</v>
      </c>
      <c r="C213" t="s">
        <v>97</v>
      </c>
      <c r="D213" t="s">
        <v>111</v>
      </c>
      <c r="E213">
        <v>34</v>
      </c>
      <c r="F213">
        <v>69</v>
      </c>
      <c r="G213">
        <v>130</v>
      </c>
      <c r="H213">
        <v>70</v>
      </c>
      <c r="I213" s="11">
        <v>8970</v>
      </c>
      <c r="J213" s="11">
        <v>4830</v>
      </c>
      <c r="K213" s="11">
        <v>4140</v>
      </c>
      <c r="L213" t="s">
        <v>84</v>
      </c>
      <c r="M213" t="s">
        <v>117</v>
      </c>
      <c r="N213" t="s">
        <v>124</v>
      </c>
    </row>
    <row r="214" spans="1:14">
      <c r="A214" s="20">
        <v>45552</v>
      </c>
      <c r="B214" t="s">
        <v>103</v>
      </c>
      <c r="C214" t="s">
        <v>95</v>
      </c>
      <c r="D214" t="s">
        <v>110</v>
      </c>
      <c r="E214">
        <v>33</v>
      </c>
      <c r="F214">
        <v>67</v>
      </c>
      <c r="G214">
        <v>110</v>
      </c>
      <c r="H214">
        <v>60</v>
      </c>
      <c r="I214" s="11">
        <v>7370</v>
      </c>
      <c r="J214" s="11">
        <v>4020</v>
      </c>
      <c r="K214" s="11">
        <v>3350</v>
      </c>
      <c r="L214" t="s">
        <v>86</v>
      </c>
      <c r="M214" t="s">
        <v>117</v>
      </c>
      <c r="N214" t="s">
        <v>124</v>
      </c>
    </row>
    <row r="215" spans="1:14">
      <c r="A215" s="20">
        <v>45542</v>
      </c>
      <c r="B215" t="s">
        <v>104</v>
      </c>
      <c r="C215" t="s">
        <v>95</v>
      </c>
      <c r="D215" t="s">
        <v>110</v>
      </c>
      <c r="E215">
        <v>30</v>
      </c>
      <c r="F215">
        <v>89</v>
      </c>
      <c r="G215">
        <v>110</v>
      </c>
      <c r="H215">
        <v>60</v>
      </c>
      <c r="I215" s="11">
        <v>9790</v>
      </c>
      <c r="J215" s="11">
        <v>5340</v>
      </c>
      <c r="K215" s="11">
        <v>4450</v>
      </c>
      <c r="L215" t="s">
        <v>86</v>
      </c>
      <c r="M215" t="s">
        <v>117</v>
      </c>
      <c r="N215" t="s">
        <v>123</v>
      </c>
    </row>
    <row r="216" spans="1:14">
      <c r="A216" s="20">
        <v>45372</v>
      </c>
      <c r="B216" t="s">
        <v>106</v>
      </c>
      <c r="C216" t="s">
        <v>94</v>
      </c>
      <c r="D216" t="s">
        <v>111</v>
      </c>
      <c r="E216">
        <v>41</v>
      </c>
      <c r="F216">
        <v>164</v>
      </c>
      <c r="G216">
        <v>80</v>
      </c>
      <c r="H216">
        <v>45</v>
      </c>
      <c r="I216" s="11">
        <v>13120</v>
      </c>
      <c r="J216" s="11">
        <v>7380</v>
      </c>
      <c r="K216" s="11">
        <v>5740</v>
      </c>
      <c r="L216" t="s">
        <v>80</v>
      </c>
      <c r="M216" t="s">
        <v>115</v>
      </c>
      <c r="N216" t="s">
        <v>125</v>
      </c>
    </row>
    <row r="217" spans="1:14">
      <c r="A217" s="20">
        <v>45614</v>
      </c>
      <c r="B217" t="s">
        <v>105</v>
      </c>
      <c r="C217" t="s">
        <v>93</v>
      </c>
      <c r="D217" t="s">
        <v>111</v>
      </c>
      <c r="E217">
        <v>18</v>
      </c>
      <c r="F217">
        <v>54</v>
      </c>
      <c r="G217">
        <v>100</v>
      </c>
      <c r="H217">
        <v>55</v>
      </c>
      <c r="I217" s="11">
        <v>5400</v>
      </c>
      <c r="J217" s="11">
        <v>2970</v>
      </c>
      <c r="K217" s="11">
        <v>2430</v>
      </c>
      <c r="L217" t="s">
        <v>88</v>
      </c>
      <c r="M217" t="s">
        <v>118</v>
      </c>
      <c r="N217" t="s">
        <v>122</v>
      </c>
    </row>
    <row r="218" spans="1:14">
      <c r="A218" s="20">
        <v>45553</v>
      </c>
      <c r="B218" t="s">
        <v>106</v>
      </c>
      <c r="C218" t="s">
        <v>96</v>
      </c>
      <c r="D218" t="s">
        <v>110</v>
      </c>
      <c r="E218">
        <v>34</v>
      </c>
      <c r="F218">
        <v>88</v>
      </c>
      <c r="G218">
        <v>90</v>
      </c>
      <c r="H218">
        <v>50</v>
      </c>
      <c r="I218" s="11">
        <v>7920</v>
      </c>
      <c r="J218" s="11">
        <v>4400</v>
      </c>
      <c r="K218" s="11">
        <v>3520</v>
      </c>
      <c r="L218" t="s">
        <v>86</v>
      </c>
      <c r="M218" t="s">
        <v>117</v>
      </c>
      <c r="N218" t="s">
        <v>124</v>
      </c>
    </row>
    <row r="219" spans="1:14">
      <c r="A219" s="20">
        <v>45560</v>
      </c>
      <c r="B219" t="s">
        <v>105</v>
      </c>
      <c r="C219" t="s">
        <v>98</v>
      </c>
      <c r="D219" t="s">
        <v>111</v>
      </c>
      <c r="E219">
        <v>31</v>
      </c>
      <c r="F219">
        <v>92</v>
      </c>
      <c r="G219">
        <v>100</v>
      </c>
      <c r="H219">
        <v>55</v>
      </c>
      <c r="I219" s="11">
        <v>9200</v>
      </c>
      <c r="J219" s="11">
        <v>5060</v>
      </c>
      <c r="K219" s="11">
        <v>4140</v>
      </c>
      <c r="L219" t="s">
        <v>86</v>
      </c>
      <c r="M219" t="s">
        <v>117</v>
      </c>
      <c r="N219" t="s">
        <v>124</v>
      </c>
    </row>
    <row r="220" spans="1:14">
      <c r="A220" s="20">
        <v>45479</v>
      </c>
      <c r="B220" t="s">
        <v>106</v>
      </c>
      <c r="C220" t="s">
        <v>94</v>
      </c>
      <c r="D220" t="s">
        <v>112</v>
      </c>
      <c r="E220">
        <v>32</v>
      </c>
      <c r="F220">
        <v>60</v>
      </c>
      <c r="G220">
        <v>80</v>
      </c>
      <c r="H220">
        <v>45</v>
      </c>
      <c r="I220" s="11">
        <v>4800</v>
      </c>
      <c r="J220" s="11">
        <v>2700</v>
      </c>
      <c r="K220" s="11">
        <v>2100</v>
      </c>
      <c r="L220" t="s">
        <v>84</v>
      </c>
      <c r="M220" t="s">
        <v>117</v>
      </c>
      <c r="N220" t="s">
        <v>124</v>
      </c>
    </row>
    <row r="221" spans="1:14">
      <c r="A221" s="20">
        <v>45451</v>
      </c>
      <c r="B221" t="s">
        <v>105</v>
      </c>
      <c r="C221" t="s">
        <v>93</v>
      </c>
      <c r="D221" t="s">
        <v>110</v>
      </c>
      <c r="E221">
        <v>33</v>
      </c>
      <c r="F221">
        <v>149</v>
      </c>
      <c r="G221">
        <v>100</v>
      </c>
      <c r="H221">
        <v>55</v>
      </c>
      <c r="I221" s="11">
        <v>14900</v>
      </c>
      <c r="J221" s="11">
        <v>8195</v>
      </c>
      <c r="K221" s="11">
        <v>6705</v>
      </c>
      <c r="L221" t="s">
        <v>83</v>
      </c>
      <c r="M221" t="s">
        <v>116</v>
      </c>
      <c r="N221" t="s">
        <v>124</v>
      </c>
    </row>
    <row r="222" spans="1:14">
      <c r="A222" s="20">
        <v>45497</v>
      </c>
      <c r="B222" t="s">
        <v>103</v>
      </c>
      <c r="C222" t="s">
        <v>95</v>
      </c>
      <c r="D222" t="s">
        <v>110</v>
      </c>
      <c r="E222">
        <v>26</v>
      </c>
      <c r="F222">
        <v>42</v>
      </c>
      <c r="G222">
        <v>110</v>
      </c>
      <c r="H222">
        <v>60</v>
      </c>
      <c r="I222" s="11">
        <v>4620</v>
      </c>
      <c r="J222" s="11">
        <v>2520</v>
      </c>
      <c r="K222" s="11">
        <v>2100</v>
      </c>
      <c r="L222" t="s">
        <v>84</v>
      </c>
      <c r="M222" t="s">
        <v>117</v>
      </c>
      <c r="N222" t="s">
        <v>123</v>
      </c>
    </row>
    <row r="223" spans="1:14">
      <c r="A223" s="20">
        <v>45524</v>
      </c>
      <c r="B223" t="s">
        <v>103</v>
      </c>
      <c r="C223" t="s">
        <v>96</v>
      </c>
      <c r="D223" t="s">
        <v>111</v>
      </c>
      <c r="E223">
        <v>31</v>
      </c>
      <c r="F223">
        <v>64</v>
      </c>
      <c r="G223">
        <v>90</v>
      </c>
      <c r="H223">
        <v>50</v>
      </c>
      <c r="I223" s="11">
        <v>5760</v>
      </c>
      <c r="J223" s="11">
        <v>3200</v>
      </c>
      <c r="K223" s="11">
        <v>2560</v>
      </c>
      <c r="L223" t="s">
        <v>85</v>
      </c>
      <c r="M223" t="s">
        <v>117</v>
      </c>
      <c r="N223" t="s">
        <v>124</v>
      </c>
    </row>
    <row r="224" spans="1:14">
      <c r="A224" s="20">
        <v>45365</v>
      </c>
      <c r="B224" t="s">
        <v>106</v>
      </c>
      <c r="C224" t="s">
        <v>93</v>
      </c>
      <c r="D224" t="s">
        <v>110</v>
      </c>
      <c r="E224">
        <v>36</v>
      </c>
      <c r="F224">
        <v>128</v>
      </c>
      <c r="G224">
        <v>100</v>
      </c>
      <c r="H224">
        <v>55</v>
      </c>
      <c r="I224" s="11">
        <v>12800</v>
      </c>
      <c r="J224" s="11">
        <v>7040</v>
      </c>
      <c r="K224" s="11">
        <v>5760</v>
      </c>
      <c r="L224" t="s">
        <v>80</v>
      </c>
      <c r="M224" t="s">
        <v>115</v>
      </c>
      <c r="N224" t="s">
        <v>125</v>
      </c>
    </row>
    <row r="225" spans="1:14">
      <c r="A225" s="20">
        <v>45569</v>
      </c>
      <c r="B225" t="s">
        <v>105</v>
      </c>
      <c r="C225" t="s">
        <v>97</v>
      </c>
      <c r="D225" t="s">
        <v>110</v>
      </c>
      <c r="E225">
        <v>26</v>
      </c>
      <c r="F225">
        <v>93</v>
      </c>
      <c r="G225">
        <v>130</v>
      </c>
      <c r="H225">
        <v>70</v>
      </c>
      <c r="I225" s="11">
        <v>12090</v>
      </c>
      <c r="J225" s="11">
        <v>6510</v>
      </c>
      <c r="K225" s="11">
        <v>5580</v>
      </c>
      <c r="L225" t="s">
        <v>87</v>
      </c>
      <c r="M225" t="s">
        <v>118</v>
      </c>
      <c r="N225" t="s">
        <v>123</v>
      </c>
    </row>
    <row r="226" spans="1:14">
      <c r="A226" s="20">
        <v>45303</v>
      </c>
      <c r="B226" t="s">
        <v>104</v>
      </c>
      <c r="C226" t="s">
        <v>94</v>
      </c>
      <c r="D226" t="s">
        <v>110</v>
      </c>
      <c r="E226">
        <v>25</v>
      </c>
      <c r="F226">
        <v>35</v>
      </c>
      <c r="G226">
        <v>80</v>
      </c>
      <c r="H226">
        <v>45</v>
      </c>
      <c r="I226" s="11">
        <v>2800</v>
      </c>
      <c r="J226" s="11">
        <v>1575</v>
      </c>
      <c r="K226" s="11">
        <v>1225</v>
      </c>
      <c r="L226" t="s">
        <v>78</v>
      </c>
      <c r="M226" t="s">
        <v>115</v>
      </c>
      <c r="N226" t="s">
        <v>123</v>
      </c>
    </row>
    <row r="227" spans="1:14">
      <c r="A227" s="20">
        <v>45501</v>
      </c>
      <c r="B227" t="s">
        <v>106</v>
      </c>
      <c r="C227" t="s">
        <v>98</v>
      </c>
      <c r="D227" t="s">
        <v>112</v>
      </c>
      <c r="E227">
        <v>28</v>
      </c>
      <c r="F227">
        <v>65</v>
      </c>
      <c r="G227">
        <v>100</v>
      </c>
      <c r="H227">
        <v>55</v>
      </c>
      <c r="I227" s="11">
        <v>6500</v>
      </c>
      <c r="J227" s="11">
        <v>3575</v>
      </c>
      <c r="K227" s="11">
        <v>2925</v>
      </c>
      <c r="L227" t="s">
        <v>84</v>
      </c>
      <c r="M227" t="s">
        <v>117</v>
      </c>
      <c r="N227" t="s">
        <v>123</v>
      </c>
    </row>
    <row r="228" spans="1:14">
      <c r="A228" s="20">
        <v>45298</v>
      </c>
      <c r="B228" t="s">
        <v>106</v>
      </c>
      <c r="C228" t="s">
        <v>94</v>
      </c>
      <c r="D228" t="s">
        <v>110</v>
      </c>
      <c r="E228">
        <v>20</v>
      </c>
      <c r="F228">
        <v>41</v>
      </c>
      <c r="G228">
        <v>80</v>
      </c>
      <c r="H228">
        <v>45</v>
      </c>
      <c r="I228" s="11">
        <v>3280</v>
      </c>
      <c r="J228" s="11">
        <v>1845</v>
      </c>
      <c r="K228" s="11">
        <v>1435</v>
      </c>
      <c r="L228" t="s">
        <v>78</v>
      </c>
      <c r="M228" t="s">
        <v>115</v>
      </c>
      <c r="N228" t="s">
        <v>122</v>
      </c>
    </row>
    <row r="229" spans="1:14">
      <c r="A229" s="20">
        <v>45349</v>
      </c>
      <c r="B229" t="s">
        <v>103</v>
      </c>
      <c r="C229" t="s">
        <v>94</v>
      </c>
      <c r="D229" t="s">
        <v>110</v>
      </c>
      <c r="E229">
        <v>26</v>
      </c>
      <c r="F229">
        <v>33</v>
      </c>
      <c r="G229">
        <v>80</v>
      </c>
      <c r="H229">
        <v>45</v>
      </c>
      <c r="I229" s="11">
        <v>2640</v>
      </c>
      <c r="J229" s="11">
        <v>1485</v>
      </c>
      <c r="K229" s="11">
        <v>1155</v>
      </c>
      <c r="L229" t="s">
        <v>79</v>
      </c>
      <c r="M229" t="s">
        <v>115</v>
      </c>
      <c r="N229" t="s">
        <v>123</v>
      </c>
    </row>
    <row r="230" spans="1:14">
      <c r="A230" s="20">
        <v>45390</v>
      </c>
      <c r="B230" t="s">
        <v>103</v>
      </c>
      <c r="C230" t="s">
        <v>93</v>
      </c>
      <c r="D230" t="s">
        <v>111</v>
      </c>
      <c r="E230">
        <v>35</v>
      </c>
      <c r="F230">
        <v>124</v>
      </c>
      <c r="G230">
        <v>100</v>
      </c>
      <c r="H230">
        <v>55</v>
      </c>
      <c r="I230" s="11">
        <v>12400</v>
      </c>
      <c r="J230" s="11">
        <v>6820</v>
      </c>
      <c r="K230" s="11">
        <v>5580</v>
      </c>
      <c r="L230" t="s">
        <v>81</v>
      </c>
      <c r="M230" t="s">
        <v>116</v>
      </c>
      <c r="N230" t="s">
        <v>124</v>
      </c>
    </row>
    <row r="231" spans="1:14">
      <c r="A231" s="20">
        <v>45579</v>
      </c>
      <c r="B231" t="s">
        <v>105</v>
      </c>
      <c r="C231" t="s">
        <v>94</v>
      </c>
      <c r="D231" t="s">
        <v>111</v>
      </c>
      <c r="E231">
        <v>28</v>
      </c>
      <c r="F231">
        <v>56</v>
      </c>
      <c r="G231">
        <v>80</v>
      </c>
      <c r="H231">
        <v>45</v>
      </c>
      <c r="I231" s="11">
        <v>4480</v>
      </c>
      <c r="J231" s="11">
        <v>2520</v>
      </c>
      <c r="K231" s="11">
        <v>1960</v>
      </c>
      <c r="L231" t="s">
        <v>87</v>
      </c>
      <c r="M231" t="s">
        <v>118</v>
      </c>
      <c r="N231" t="s">
        <v>123</v>
      </c>
    </row>
    <row r="232" spans="1:14">
      <c r="A232" s="20">
        <v>45628</v>
      </c>
      <c r="B232" t="s">
        <v>103</v>
      </c>
      <c r="C232" t="s">
        <v>97</v>
      </c>
      <c r="D232" t="s">
        <v>111</v>
      </c>
      <c r="E232">
        <v>22</v>
      </c>
      <c r="F232">
        <v>56</v>
      </c>
      <c r="G232">
        <v>130</v>
      </c>
      <c r="H232">
        <v>70</v>
      </c>
      <c r="I232" s="11">
        <v>7280</v>
      </c>
      <c r="J232" s="11">
        <v>3920</v>
      </c>
      <c r="K232" s="11">
        <v>3360</v>
      </c>
      <c r="L232" t="s">
        <v>89</v>
      </c>
      <c r="M232" t="s">
        <v>118</v>
      </c>
      <c r="N232" t="s">
        <v>122</v>
      </c>
    </row>
    <row r="233" spans="1:14">
      <c r="A233" s="20">
        <v>45375</v>
      </c>
      <c r="B233" t="s">
        <v>103</v>
      </c>
      <c r="C233" t="s">
        <v>93</v>
      </c>
      <c r="D233" t="s">
        <v>112</v>
      </c>
      <c r="E233">
        <v>41</v>
      </c>
      <c r="F233">
        <v>50</v>
      </c>
      <c r="G233">
        <v>100</v>
      </c>
      <c r="H233">
        <v>55</v>
      </c>
      <c r="I233" s="11">
        <v>5000</v>
      </c>
      <c r="J233" s="11">
        <v>2750</v>
      </c>
      <c r="K233" s="11">
        <v>2250</v>
      </c>
      <c r="L233" t="s">
        <v>80</v>
      </c>
      <c r="M233" t="s">
        <v>115</v>
      </c>
      <c r="N233" t="s">
        <v>125</v>
      </c>
    </row>
    <row r="234" spans="1:14">
      <c r="A234" s="20">
        <v>45306</v>
      </c>
      <c r="B234" t="s">
        <v>103</v>
      </c>
      <c r="C234" t="s">
        <v>95</v>
      </c>
      <c r="D234" t="s">
        <v>112</v>
      </c>
      <c r="E234">
        <v>19</v>
      </c>
      <c r="F234">
        <v>33</v>
      </c>
      <c r="G234">
        <v>110</v>
      </c>
      <c r="H234">
        <v>60</v>
      </c>
      <c r="I234" s="11">
        <v>3630</v>
      </c>
      <c r="J234" s="11">
        <v>1980</v>
      </c>
      <c r="K234" s="11">
        <v>1650</v>
      </c>
      <c r="L234" t="s">
        <v>78</v>
      </c>
      <c r="M234" t="s">
        <v>115</v>
      </c>
      <c r="N234" t="s">
        <v>122</v>
      </c>
    </row>
    <row r="235" spans="1:14">
      <c r="A235" s="20">
        <v>45562</v>
      </c>
      <c r="B235" t="s">
        <v>104</v>
      </c>
      <c r="C235" t="s">
        <v>93</v>
      </c>
      <c r="D235" t="s">
        <v>110</v>
      </c>
      <c r="E235">
        <v>30</v>
      </c>
      <c r="F235">
        <v>46</v>
      </c>
      <c r="G235">
        <v>100</v>
      </c>
      <c r="H235">
        <v>55</v>
      </c>
      <c r="I235" s="11">
        <v>4600</v>
      </c>
      <c r="J235" s="11">
        <v>2530</v>
      </c>
      <c r="K235" s="11">
        <v>2070</v>
      </c>
      <c r="L235" t="s">
        <v>86</v>
      </c>
      <c r="M235" t="s">
        <v>117</v>
      </c>
      <c r="N235" t="s">
        <v>123</v>
      </c>
    </row>
    <row r="236" spans="1:14">
      <c r="A236" s="20">
        <v>45299</v>
      </c>
      <c r="B236" t="s">
        <v>106</v>
      </c>
      <c r="C236" t="s">
        <v>95</v>
      </c>
      <c r="D236" t="s">
        <v>111</v>
      </c>
      <c r="E236">
        <v>22</v>
      </c>
      <c r="F236">
        <v>12</v>
      </c>
      <c r="G236">
        <v>110</v>
      </c>
      <c r="H236">
        <v>60</v>
      </c>
      <c r="I236" s="11">
        <v>1320</v>
      </c>
      <c r="J236" s="11">
        <v>720</v>
      </c>
      <c r="K236" s="11">
        <v>600</v>
      </c>
      <c r="L236" t="s">
        <v>78</v>
      </c>
      <c r="M236" t="s">
        <v>115</v>
      </c>
      <c r="N236" t="s">
        <v>122</v>
      </c>
    </row>
    <row r="237" spans="1:14">
      <c r="A237" s="20">
        <v>45315</v>
      </c>
      <c r="B237" t="s">
        <v>105</v>
      </c>
      <c r="C237" t="s">
        <v>97</v>
      </c>
      <c r="D237" t="s">
        <v>111</v>
      </c>
      <c r="E237">
        <v>24</v>
      </c>
      <c r="F237">
        <v>34</v>
      </c>
      <c r="G237">
        <v>130</v>
      </c>
      <c r="H237">
        <v>70</v>
      </c>
      <c r="I237" s="11">
        <v>4420</v>
      </c>
      <c r="J237" s="11">
        <v>2380</v>
      </c>
      <c r="K237" s="11">
        <v>2040</v>
      </c>
      <c r="L237" t="s">
        <v>78</v>
      </c>
      <c r="M237" t="s">
        <v>115</v>
      </c>
      <c r="N237" t="s">
        <v>122</v>
      </c>
    </row>
    <row r="238" spans="1:14">
      <c r="A238" s="20">
        <v>45564</v>
      </c>
      <c r="B238" t="s">
        <v>103</v>
      </c>
      <c r="C238" t="s">
        <v>96</v>
      </c>
      <c r="D238" t="s">
        <v>111</v>
      </c>
      <c r="E238">
        <v>34</v>
      </c>
      <c r="F238">
        <v>77</v>
      </c>
      <c r="G238">
        <v>90</v>
      </c>
      <c r="H238">
        <v>50</v>
      </c>
      <c r="I238" s="11">
        <v>6930</v>
      </c>
      <c r="J238" s="11">
        <v>3850</v>
      </c>
      <c r="K238" s="11">
        <v>3080</v>
      </c>
      <c r="L238" t="s">
        <v>86</v>
      </c>
      <c r="M238" t="s">
        <v>117</v>
      </c>
      <c r="N238" t="s">
        <v>124</v>
      </c>
    </row>
    <row r="239" spans="1:14">
      <c r="A239" s="20">
        <v>45610</v>
      </c>
      <c r="B239" t="s">
        <v>103</v>
      </c>
      <c r="C239" t="s">
        <v>95</v>
      </c>
      <c r="D239" t="s">
        <v>111</v>
      </c>
      <c r="E239">
        <v>18</v>
      </c>
      <c r="F239">
        <v>17</v>
      </c>
      <c r="G239">
        <v>110</v>
      </c>
      <c r="H239">
        <v>60</v>
      </c>
      <c r="I239" s="11">
        <v>1870</v>
      </c>
      <c r="J239" s="11">
        <v>1020</v>
      </c>
      <c r="K239" s="11">
        <v>850</v>
      </c>
      <c r="L239" t="s">
        <v>88</v>
      </c>
      <c r="M239" t="s">
        <v>118</v>
      </c>
      <c r="N239" t="s">
        <v>122</v>
      </c>
    </row>
    <row r="240" spans="1:14">
      <c r="A240" s="20">
        <v>45363</v>
      </c>
      <c r="B240" t="s">
        <v>105</v>
      </c>
      <c r="C240" t="s">
        <v>93</v>
      </c>
      <c r="D240" t="s">
        <v>110</v>
      </c>
      <c r="E240">
        <v>37</v>
      </c>
      <c r="F240">
        <v>144</v>
      </c>
      <c r="G240">
        <v>100</v>
      </c>
      <c r="H240">
        <v>55</v>
      </c>
      <c r="I240" s="11">
        <v>14400</v>
      </c>
      <c r="J240" s="11">
        <v>7920</v>
      </c>
      <c r="K240" s="11">
        <v>6480</v>
      </c>
      <c r="L240" t="s">
        <v>80</v>
      </c>
      <c r="M240" t="s">
        <v>115</v>
      </c>
      <c r="N240" t="s">
        <v>125</v>
      </c>
    </row>
    <row r="241" spans="1:14">
      <c r="A241" s="20">
        <v>45323</v>
      </c>
      <c r="B241" t="s">
        <v>105</v>
      </c>
      <c r="C241" t="s">
        <v>95</v>
      </c>
      <c r="D241" t="s">
        <v>112</v>
      </c>
      <c r="E241">
        <v>33</v>
      </c>
      <c r="F241">
        <v>70</v>
      </c>
      <c r="G241">
        <v>110</v>
      </c>
      <c r="H241">
        <v>60</v>
      </c>
      <c r="I241" s="11">
        <v>7700</v>
      </c>
      <c r="J241" s="11">
        <v>4200</v>
      </c>
      <c r="K241" s="11">
        <v>3500</v>
      </c>
      <c r="L241" t="s">
        <v>79</v>
      </c>
      <c r="M241" t="s">
        <v>115</v>
      </c>
      <c r="N241" t="s">
        <v>124</v>
      </c>
    </row>
    <row r="242" spans="1:14">
      <c r="A242" s="20">
        <v>45558</v>
      </c>
      <c r="B242" t="s">
        <v>103</v>
      </c>
      <c r="C242" t="s">
        <v>93</v>
      </c>
      <c r="D242" t="s">
        <v>110</v>
      </c>
      <c r="E242">
        <v>31</v>
      </c>
      <c r="F242">
        <v>75</v>
      </c>
      <c r="G242">
        <v>100</v>
      </c>
      <c r="H242">
        <v>55</v>
      </c>
      <c r="I242" s="11">
        <v>7500</v>
      </c>
      <c r="J242" s="11">
        <v>4125</v>
      </c>
      <c r="K242" s="11">
        <v>3375</v>
      </c>
      <c r="L242" t="s">
        <v>86</v>
      </c>
      <c r="M242" t="s">
        <v>117</v>
      </c>
      <c r="N242" t="s">
        <v>124</v>
      </c>
    </row>
    <row r="243" spans="1:14">
      <c r="A243" s="20">
        <v>45377</v>
      </c>
      <c r="B243" t="s">
        <v>103</v>
      </c>
      <c r="C243" t="s">
        <v>94</v>
      </c>
      <c r="D243" t="s">
        <v>111</v>
      </c>
      <c r="E243">
        <v>33</v>
      </c>
      <c r="F243">
        <v>146</v>
      </c>
      <c r="G243">
        <v>80</v>
      </c>
      <c r="H243">
        <v>45</v>
      </c>
      <c r="I243" s="11">
        <v>11680</v>
      </c>
      <c r="J243" s="11">
        <v>6570</v>
      </c>
      <c r="K243" s="11">
        <v>5110</v>
      </c>
      <c r="L243" t="s">
        <v>80</v>
      </c>
      <c r="M243" t="s">
        <v>115</v>
      </c>
      <c r="N243" t="s">
        <v>124</v>
      </c>
    </row>
    <row r="244" spans="1:14">
      <c r="A244" s="20">
        <v>45516</v>
      </c>
      <c r="B244" t="s">
        <v>104</v>
      </c>
      <c r="C244" t="s">
        <v>94</v>
      </c>
      <c r="D244" t="s">
        <v>110</v>
      </c>
      <c r="E244">
        <v>31</v>
      </c>
      <c r="F244">
        <v>55</v>
      </c>
      <c r="G244">
        <v>80</v>
      </c>
      <c r="H244">
        <v>45</v>
      </c>
      <c r="I244" s="11">
        <v>4400</v>
      </c>
      <c r="J244" s="11">
        <v>2475</v>
      </c>
      <c r="K244" s="11">
        <v>1925</v>
      </c>
      <c r="L244" t="s">
        <v>85</v>
      </c>
      <c r="M244" t="s">
        <v>117</v>
      </c>
      <c r="N244" t="s">
        <v>124</v>
      </c>
    </row>
    <row r="245" spans="1:14">
      <c r="A245" s="20">
        <v>45394</v>
      </c>
      <c r="B245" t="s">
        <v>104</v>
      </c>
      <c r="C245" t="s">
        <v>94</v>
      </c>
      <c r="D245" t="s">
        <v>111</v>
      </c>
      <c r="E245">
        <v>33</v>
      </c>
      <c r="F245">
        <v>192</v>
      </c>
      <c r="G245">
        <v>80</v>
      </c>
      <c r="H245">
        <v>45</v>
      </c>
      <c r="I245" s="11">
        <v>15360</v>
      </c>
      <c r="J245" s="11">
        <v>8640</v>
      </c>
      <c r="K245" s="11">
        <v>6720</v>
      </c>
      <c r="L245" t="s">
        <v>81</v>
      </c>
      <c r="M245" t="s">
        <v>116</v>
      </c>
      <c r="N245" t="s">
        <v>124</v>
      </c>
    </row>
    <row r="246" spans="1:14">
      <c r="A246" s="20">
        <v>45397</v>
      </c>
      <c r="B246" t="s">
        <v>103</v>
      </c>
      <c r="C246" t="s">
        <v>94</v>
      </c>
      <c r="D246" t="s">
        <v>111</v>
      </c>
      <c r="E246">
        <v>37</v>
      </c>
      <c r="F246">
        <v>172</v>
      </c>
      <c r="G246">
        <v>80</v>
      </c>
      <c r="H246">
        <v>45</v>
      </c>
      <c r="I246" s="11">
        <v>13760</v>
      </c>
      <c r="J246" s="11">
        <v>7740</v>
      </c>
      <c r="K246" s="11">
        <v>6020</v>
      </c>
      <c r="L246" t="s">
        <v>81</v>
      </c>
      <c r="M246" t="s">
        <v>116</v>
      </c>
      <c r="N246" t="s">
        <v>125</v>
      </c>
    </row>
    <row r="247" spans="1:14">
      <c r="A247" s="20">
        <v>45300</v>
      </c>
      <c r="B247" t="s">
        <v>103</v>
      </c>
      <c r="C247" t="s">
        <v>97</v>
      </c>
      <c r="D247" t="s">
        <v>111</v>
      </c>
      <c r="E247">
        <v>25</v>
      </c>
      <c r="F247">
        <v>59</v>
      </c>
      <c r="G247">
        <v>130</v>
      </c>
      <c r="H247">
        <v>70</v>
      </c>
      <c r="I247" s="11">
        <v>7670</v>
      </c>
      <c r="J247" s="11">
        <v>4130</v>
      </c>
      <c r="K247" s="11">
        <v>3540</v>
      </c>
      <c r="L247" t="s">
        <v>78</v>
      </c>
      <c r="M247" t="s">
        <v>115</v>
      </c>
      <c r="N247" t="s">
        <v>123</v>
      </c>
    </row>
    <row r="248" spans="1:14">
      <c r="A248" s="20">
        <v>45619</v>
      </c>
      <c r="B248" t="s">
        <v>106</v>
      </c>
      <c r="C248" t="s">
        <v>95</v>
      </c>
      <c r="D248" t="s">
        <v>110</v>
      </c>
      <c r="E248">
        <v>21</v>
      </c>
      <c r="F248">
        <v>16</v>
      </c>
      <c r="G248">
        <v>110</v>
      </c>
      <c r="H248">
        <v>60</v>
      </c>
      <c r="I248" s="11">
        <v>1760</v>
      </c>
      <c r="J248" s="11">
        <v>960</v>
      </c>
      <c r="K248" s="11">
        <v>800</v>
      </c>
      <c r="L248" t="s">
        <v>88</v>
      </c>
      <c r="M248" t="s">
        <v>118</v>
      </c>
      <c r="N248" t="s">
        <v>122</v>
      </c>
    </row>
    <row r="249" spans="1:14">
      <c r="A249" s="20">
        <v>45499</v>
      </c>
      <c r="B249" t="s">
        <v>106</v>
      </c>
      <c r="C249" t="s">
        <v>96</v>
      </c>
      <c r="D249" t="s">
        <v>110</v>
      </c>
      <c r="E249">
        <v>34</v>
      </c>
      <c r="F249">
        <v>32</v>
      </c>
      <c r="G249">
        <v>90</v>
      </c>
      <c r="H249">
        <v>50</v>
      </c>
      <c r="I249" s="11">
        <v>2880</v>
      </c>
      <c r="J249" s="11">
        <v>1600</v>
      </c>
      <c r="K249" s="11">
        <v>1280</v>
      </c>
      <c r="L249" t="s">
        <v>84</v>
      </c>
      <c r="M249" t="s">
        <v>117</v>
      </c>
      <c r="N249" t="s">
        <v>124</v>
      </c>
    </row>
    <row r="250" spans="1:14">
      <c r="A250" s="20">
        <v>45479</v>
      </c>
      <c r="B250" t="s">
        <v>103</v>
      </c>
      <c r="C250" t="s">
        <v>95</v>
      </c>
      <c r="D250" t="s">
        <v>110</v>
      </c>
      <c r="E250">
        <v>34</v>
      </c>
      <c r="F250">
        <v>41</v>
      </c>
      <c r="G250">
        <v>110</v>
      </c>
      <c r="H250">
        <v>60</v>
      </c>
      <c r="I250" s="11">
        <v>4510</v>
      </c>
      <c r="J250" s="11">
        <v>2460</v>
      </c>
      <c r="K250" s="11">
        <v>2050</v>
      </c>
      <c r="L250" t="s">
        <v>84</v>
      </c>
      <c r="M250" t="s">
        <v>117</v>
      </c>
      <c r="N250" t="s">
        <v>124</v>
      </c>
    </row>
    <row r="251" spans="1:14">
      <c r="A251" s="20">
        <v>45592</v>
      </c>
      <c r="B251" t="s">
        <v>103</v>
      </c>
      <c r="C251" t="s">
        <v>96</v>
      </c>
      <c r="D251" t="s">
        <v>110</v>
      </c>
      <c r="E251">
        <v>33</v>
      </c>
      <c r="F251">
        <v>74</v>
      </c>
      <c r="G251">
        <v>90</v>
      </c>
      <c r="H251">
        <v>50</v>
      </c>
      <c r="I251" s="11">
        <v>6660</v>
      </c>
      <c r="J251" s="11">
        <v>3700</v>
      </c>
      <c r="K251" s="11">
        <v>2960</v>
      </c>
      <c r="L251" t="s">
        <v>87</v>
      </c>
      <c r="M251" t="s">
        <v>118</v>
      </c>
      <c r="N251" t="s">
        <v>124</v>
      </c>
    </row>
    <row r="252" spans="1:14">
      <c r="A252" s="20">
        <v>45512</v>
      </c>
      <c r="B252" t="s">
        <v>105</v>
      </c>
      <c r="C252" t="s">
        <v>95</v>
      </c>
      <c r="D252" t="s">
        <v>110</v>
      </c>
      <c r="E252">
        <v>27</v>
      </c>
      <c r="F252">
        <v>99</v>
      </c>
      <c r="G252">
        <v>110</v>
      </c>
      <c r="H252">
        <v>60</v>
      </c>
      <c r="I252" s="11">
        <v>10890</v>
      </c>
      <c r="J252" s="11">
        <v>5940</v>
      </c>
      <c r="K252" s="11">
        <v>4950</v>
      </c>
      <c r="L252" t="s">
        <v>85</v>
      </c>
      <c r="M252" t="s">
        <v>117</v>
      </c>
      <c r="N252" t="s">
        <v>123</v>
      </c>
    </row>
    <row r="253" spans="1:14">
      <c r="A253" s="20">
        <v>45502</v>
      </c>
      <c r="B253" t="s">
        <v>106</v>
      </c>
      <c r="C253" t="s">
        <v>94</v>
      </c>
      <c r="D253" t="s">
        <v>112</v>
      </c>
      <c r="E253">
        <v>28</v>
      </c>
      <c r="F253">
        <v>32</v>
      </c>
      <c r="G253">
        <v>80</v>
      </c>
      <c r="H253">
        <v>45</v>
      </c>
      <c r="I253" s="11">
        <v>2560</v>
      </c>
      <c r="J253" s="11">
        <v>1440</v>
      </c>
      <c r="K253" s="11">
        <v>1120</v>
      </c>
      <c r="L253" t="s">
        <v>84</v>
      </c>
      <c r="M253" t="s">
        <v>117</v>
      </c>
      <c r="N253" t="s">
        <v>123</v>
      </c>
    </row>
    <row r="254" spans="1:14">
      <c r="A254" s="20">
        <v>45326</v>
      </c>
      <c r="B254" t="s">
        <v>104</v>
      </c>
      <c r="C254" t="s">
        <v>94</v>
      </c>
      <c r="D254" t="s">
        <v>110</v>
      </c>
      <c r="E254">
        <v>26</v>
      </c>
      <c r="F254">
        <v>36</v>
      </c>
      <c r="G254">
        <v>80</v>
      </c>
      <c r="H254">
        <v>45</v>
      </c>
      <c r="I254" s="11">
        <v>2880</v>
      </c>
      <c r="J254" s="11">
        <v>1620</v>
      </c>
      <c r="K254" s="11">
        <v>1260</v>
      </c>
      <c r="L254" t="s">
        <v>79</v>
      </c>
      <c r="M254" t="s">
        <v>115</v>
      </c>
      <c r="N254" t="s">
        <v>123</v>
      </c>
    </row>
    <row r="255" spans="1:14">
      <c r="A255" s="20">
        <v>45641</v>
      </c>
      <c r="B255" t="s">
        <v>104</v>
      </c>
      <c r="C255" t="s">
        <v>97</v>
      </c>
      <c r="D255" t="s">
        <v>111</v>
      </c>
      <c r="E255">
        <v>21</v>
      </c>
      <c r="F255">
        <v>46</v>
      </c>
      <c r="G255">
        <v>130</v>
      </c>
      <c r="H255">
        <v>70</v>
      </c>
      <c r="I255" s="11">
        <v>5980</v>
      </c>
      <c r="J255" s="11">
        <v>3220</v>
      </c>
      <c r="K255" s="11">
        <v>2760</v>
      </c>
      <c r="L255" t="s">
        <v>89</v>
      </c>
      <c r="M255" t="s">
        <v>118</v>
      </c>
      <c r="N255" t="s">
        <v>122</v>
      </c>
    </row>
    <row r="256" spans="1:14">
      <c r="A256" s="20">
        <v>45511</v>
      </c>
      <c r="B256" t="s">
        <v>106</v>
      </c>
      <c r="C256" t="s">
        <v>93</v>
      </c>
      <c r="D256" t="s">
        <v>110</v>
      </c>
      <c r="E256">
        <v>28</v>
      </c>
      <c r="F256">
        <v>78</v>
      </c>
      <c r="G256">
        <v>100</v>
      </c>
      <c r="H256">
        <v>55</v>
      </c>
      <c r="I256" s="11">
        <v>7800</v>
      </c>
      <c r="J256" s="11">
        <v>4290</v>
      </c>
      <c r="K256" s="11">
        <v>3510</v>
      </c>
      <c r="L256" t="s">
        <v>85</v>
      </c>
      <c r="M256" t="s">
        <v>117</v>
      </c>
      <c r="N256" t="s">
        <v>123</v>
      </c>
    </row>
    <row r="257" spans="1:14">
      <c r="A257" s="20">
        <v>45387</v>
      </c>
      <c r="B257" t="s">
        <v>103</v>
      </c>
      <c r="C257" t="s">
        <v>96</v>
      </c>
      <c r="D257" t="s">
        <v>110</v>
      </c>
      <c r="E257">
        <v>33</v>
      </c>
      <c r="F257">
        <v>115</v>
      </c>
      <c r="G257">
        <v>90</v>
      </c>
      <c r="H257">
        <v>50</v>
      </c>
      <c r="I257" s="11">
        <v>10350</v>
      </c>
      <c r="J257" s="11">
        <v>5750</v>
      </c>
      <c r="K257" s="11">
        <v>4600</v>
      </c>
      <c r="L257" t="s">
        <v>81</v>
      </c>
      <c r="M257" t="s">
        <v>116</v>
      </c>
      <c r="N257" t="s">
        <v>124</v>
      </c>
    </row>
    <row r="258" spans="1:14">
      <c r="A258" s="20">
        <v>45553</v>
      </c>
      <c r="B258" t="s">
        <v>106</v>
      </c>
      <c r="C258" t="s">
        <v>95</v>
      </c>
      <c r="D258" t="s">
        <v>110</v>
      </c>
      <c r="E258">
        <v>28</v>
      </c>
      <c r="F258">
        <v>41</v>
      </c>
      <c r="G258">
        <v>110</v>
      </c>
      <c r="H258">
        <v>60</v>
      </c>
      <c r="I258" s="11">
        <v>4510</v>
      </c>
      <c r="J258" s="11">
        <v>2460</v>
      </c>
      <c r="K258" s="11">
        <v>2050</v>
      </c>
      <c r="L258" t="s">
        <v>86</v>
      </c>
      <c r="M258" t="s">
        <v>117</v>
      </c>
      <c r="N258" t="s">
        <v>123</v>
      </c>
    </row>
    <row r="259" spans="1:14">
      <c r="A259" s="20">
        <v>45528</v>
      </c>
      <c r="B259" t="s">
        <v>106</v>
      </c>
      <c r="C259" t="s">
        <v>93</v>
      </c>
      <c r="D259" t="s">
        <v>110</v>
      </c>
      <c r="E259">
        <v>33</v>
      </c>
      <c r="F259">
        <v>55</v>
      </c>
      <c r="G259">
        <v>100</v>
      </c>
      <c r="H259">
        <v>55</v>
      </c>
      <c r="I259" s="11">
        <v>5500</v>
      </c>
      <c r="J259" s="11">
        <v>3025</v>
      </c>
      <c r="K259" s="11">
        <v>2475</v>
      </c>
      <c r="L259" t="s">
        <v>85</v>
      </c>
      <c r="M259" t="s">
        <v>117</v>
      </c>
      <c r="N259" t="s">
        <v>124</v>
      </c>
    </row>
    <row r="260" spans="1:14">
      <c r="A260" s="20">
        <v>45391</v>
      </c>
      <c r="B260" t="s">
        <v>103</v>
      </c>
      <c r="C260" t="s">
        <v>97</v>
      </c>
      <c r="D260" t="s">
        <v>110</v>
      </c>
      <c r="E260">
        <v>33</v>
      </c>
      <c r="F260">
        <v>127</v>
      </c>
      <c r="G260">
        <v>130</v>
      </c>
      <c r="H260">
        <v>70</v>
      </c>
      <c r="I260" s="11">
        <v>16510</v>
      </c>
      <c r="J260" s="11">
        <v>8890</v>
      </c>
      <c r="K260" s="11">
        <v>7620</v>
      </c>
      <c r="L260" t="s">
        <v>81</v>
      </c>
      <c r="M260" t="s">
        <v>116</v>
      </c>
      <c r="N260" t="s">
        <v>124</v>
      </c>
    </row>
    <row r="261" spans="1:14">
      <c r="A261" s="20">
        <v>45584</v>
      </c>
      <c r="B261" t="s">
        <v>104</v>
      </c>
      <c r="C261" t="s">
        <v>98</v>
      </c>
      <c r="D261" t="s">
        <v>110</v>
      </c>
      <c r="E261">
        <v>33</v>
      </c>
      <c r="F261">
        <v>89</v>
      </c>
      <c r="G261">
        <v>100</v>
      </c>
      <c r="H261">
        <v>55</v>
      </c>
      <c r="I261" s="11">
        <v>8900</v>
      </c>
      <c r="J261" s="11">
        <v>4895</v>
      </c>
      <c r="K261" s="11">
        <v>4005</v>
      </c>
      <c r="L261" t="s">
        <v>87</v>
      </c>
      <c r="M261" t="s">
        <v>118</v>
      </c>
      <c r="N261" t="s">
        <v>124</v>
      </c>
    </row>
    <row r="262" spans="1:14">
      <c r="A262" s="20">
        <v>45522</v>
      </c>
      <c r="B262" t="s">
        <v>104</v>
      </c>
      <c r="C262" t="s">
        <v>93</v>
      </c>
      <c r="D262" t="s">
        <v>110</v>
      </c>
      <c r="E262">
        <v>27</v>
      </c>
      <c r="F262">
        <v>57</v>
      </c>
      <c r="G262">
        <v>100</v>
      </c>
      <c r="H262">
        <v>55</v>
      </c>
      <c r="I262" s="11">
        <v>5700</v>
      </c>
      <c r="J262" s="11">
        <v>3135</v>
      </c>
      <c r="K262" s="11">
        <v>2565</v>
      </c>
      <c r="L262" t="s">
        <v>85</v>
      </c>
      <c r="M262" t="s">
        <v>117</v>
      </c>
      <c r="N262" t="s">
        <v>123</v>
      </c>
    </row>
    <row r="263" spans="1:14">
      <c r="A263" s="20">
        <v>45454</v>
      </c>
      <c r="B263" t="s">
        <v>103</v>
      </c>
      <c r="C263" t="s">
        <v>95</v>
      </c>
      <c r="D263" t="s">
        <v>111</v>
      </c>
      <c r="E263">
        <v>38</v>
      </c>
      <c r="F263">
        <v>94</v>
      </c>
      <c r="G263">
        <v>110</v>
      </c>
      <c r="H263">
        <v>60</v>
      </c>
      <c r="I263" s="11">
        <v>10340</v>
      </c>
      <c r="J263" s="11">
        <v>5640</v>
      </c>
      <c r="K263" s="11">
        <v>4700</v>
      </c>
      <c r="L263" t="s">
        <v>83</v>
      </c>
      <c r="M263" t="s">
        <v>116</v>
      </c>
      <c r="N263" t="s">
        <v>125</v>
      </c>
    </row>
    <row r="264" spans="1:14">
      <c r="A264" s="20">
        <v>45594</v>
      </c>
      <c r="B264" t="s">
        <v>106</v>
      </c>
      <c r="C264" t="s">
        <v>94</v>
      </c>
      <c r="D264" t="s">
        <v>110</v>
      </c>
      <c r="E264">
        <v>34</v>
      </c>
      <c r="F264">
        <v>109</v>
      </c>
      <c r="G264">
        <v>80</v>
      </c>
      <c r="H264">
        <v>45</v>
      </c>
      <c r="I264" s="11">
        <v>8720</v>
      </c>
      <c r="J264" s="11">
        <v>4905</v>
      </c>
      <c r="K264" s="11">
        <v>3815</v>
      </c>
      <c r="L264" t="s">
        <v>87</v>
      </c>
      <c r="M264" t="s">
        <v>118</v>
      </c>
      <c r="N264" t="s">
        <v>124</v>
      </c>
    </row>
    <row r="265" spans="1:14">
      <c r="A265" s="20">
        <v>45548</v>
      </c>
      <c r="B265" t="s">
        <v>104</v>
      </c>
      <c r="C265" t="s">
        <v>93</v>
      </c>
      <c r="D265" t="s">
        <v>112</v>
      </c>
      <c r="E265">
        <v>31</v>
      </c>
      <c r="F265">
        <v>86</v>
      </c>
      <c r="G265">
        <v>100</v>
      </c>
      <c r="H265">
        <v>55</v>
      </c>
      <c r="I265" s="11">
        <v>8600</v>
      </c>
      <c r="J265" s="11">
        <v>4730</v>
      </c>
      <c r="K265" s="11">
        <v>3870</v>
      </c>
      <c r="L265" t="s">
        <v>86</v>
      </c>
      <c r="M265" t="s">
        <v>117</v>
      </c>
      <c r="N265" t="s">
        <v>124</v>
      </c>
    </row>
    <row r="266" spans="1:14">
      <c r="A266" s="20">
        <v>45575</v>
      </c>
      <c r="B266" t="s">
        <v>105</v>
      </c>
      <c r="C266" t="s">
        <v>94</v>
      </c>
      <c r="D266" t="s">
        <v>111</v>
      </c>
      <c r="E266">
        <v>26</v>
      </c>
      <c r="F266">
        <v>66</v>
      </c>
      <c r="G266">
        <v>80</v>
      </c>
      <c r="H266">
        <v>45</v>
      </c>
      <c r="I266" s="11">
        <v>5280</v>
      </c>
      <c r="J266" s="11">
        <v>2970</v>
      </c>
      <c r="K266" s="11">
        <v>2310</v>
      </c>
      <c r="L266" t="s">
        <v>87</v>
      </c>
      <c r="M266" t="s">
        <v>118</v>
      </c>
      <c r="N266" t="s">
        <v>123</v>
      </c>
    </row>
    <row r="267" spans="1:14">
      <c r="A267" s="20">
        <v>45411</v>
      </c>
      <c r="B267" t="s">
        <v>104</v>
      </c>
      <c r="C267" t="s">
        <v>98</v>
      </c>
      <c r="D267" t="s">
        <v>112</v>
      </c>
      <c r="E267">
        <v>35</v>
      </c>
      <c r="F267">
        <v>157</v>
      </c>
      <c r="G267">
        <v>100</v>
      </c>
      <c r="H267">
        <v>55</v>
      </c>
      <c r="I267" s="11">
        <v>15700</v>
      </c>
      <c r="J267" s="11">
        <v>8635</v>
      </c>
      <c r="K267" s="11">
        <v>7065</v>
      </c>
      <c r="L267" t="s">
        <v>81</v>
      </c>
      <c r="M267" t="s">
        <v>116</v>
      </c>
      <c r="N267" t="s">
        <v>124</v>
      </c>
    </row>
    <row r="268" spans="1:14">
      <c r="A268" s="20">
        <v>45625</v>
      </c>
      <c r="B268" t="s">
        <v>104</v>
      </c>
      <c r="C268" t="s">
        <v>94</v>
      </c>
      <c r="D268" t="s">
        <v>112</v>
      </c>
      <c r="E268">
        <v>18</v>
      </c>
      <c r="F268">
        <v>38</v>
      </c>
      <c r="G268">
        <v>80</v>
      </c>
      <c r="H268">
        <v>45</v>
      </c>
      <c r="I268" s="11">
        <v>3040</v>
      </c>
      <c r="J268" s="11">
        <v>1710</v>
      </c>
      <c r="K268" s="11">
        <v>1330</v>
      </c>
      <c r="L268" t="s">
        <v>88</v>
      </c>
      <c r="M268" t="s">
        <v>118</v>
      </c>
      <c r="N268" t="s">
        <v>122</v>
      </c>
    </row>
    <row r="269" spans="1:14">
      <c r="A269" s="20">
        <v>45410</v>
      </c>
      <c r="B269" t="s">
        <v>103</v>
      </c>
      <c r="C269" t="s">
        <v>94</v>
      </c>
      <c r="D269" t="s">
        <v>110</v>
      </c>
      <c r="E269">
        <v>41</v>
      </c>
      <c r="F269">
        <v>61</v>
      </c>
      <c r="G269">
        <v>80</v>
      </c>
      <c r="H269">
        <v>45</v>
      </c>
      <c r="I269" s="11">
        <v>4880</v>
      </c>
      <c r="J269" s="11">
        <v>2745</v>
      </c>
      <c r="K269" s="11">
        <v>2135</v>
      </c>
      <c r="L269" t="s">
        <v>81</v>
      </c>
      <c r="M269" t="s">
        <v>116</v>
      </c>
      <c r="N269" t="s">
        <v>125</v>
      </c>
    </row>
    <row r="270" spans="1:14">
      <c r="A270" s="20">
        <v>45567</v>
      </c>
      <c r="B270" t="s">
        <v>106</v>
      </c>
      <c r="C270" t="s">
        <v>97</v>
      </c>
      <c r="D270" t="s">
        <v>110</v>
      </c>
      <c r="E270">
        <v>34</v>
      </c>
      <c r="F270">
        <v>79</v>
      </c>
      <c r="G270">
        <v>130</v>
      </c>
      <c r="H270">
        <v>70</v>
      </c>
      <c r="I270" s="11">
        <v>10270</v>
      </c>
      <c r="J270" s="11">
        <v>5530</v>
      </c>
      <c r="K270" s="11">
        <v>4740</v>
      </c>
      <c r="L270" t="s">
        <v>87</v>
      </c>
      <c r="M270" t="s">
        <v>118</v>
      </c>
      <c r="N270" t="s">
        <v>124</v>
      </c>
    </row>
    <row r="271" spans="1:14">
      <c r="A271" s="20">
        <v>45330</v>
      </c>
      <c r="B271" t="s">
        <v>104</v>
      </c>
      <c r="C271" t="s">
        <v>93</v>
      </c>
      <c r="D271" t="s">
        <v>110</v>
      </c>
      <c r="E271">
        <v>31</v>
      </c>
      <c r="F271">
        <v>73</v>
      </c>
      <c r="G271">
        <v>100</v>
      </c>
      <c r="H271">
        <v>55</v>
      </c>
      <c r="I271" s="11">
        <v>7300</v>
      </c>
      <c r="J271" s="11">
        <v>4015</v>
      </c>
      <c r="K271" s="11">
        <v>3285</v>
      </c>
      <c r="L271" t="s">
        <v>79</v>
      </c>
      <c r="M271" t="s">
        <v>115</v>
      </c>
      <c r="N271" t="s">
        <v>124</v>
      </c>
    </row>
    <row r="272" spans="1:14">
      <c r="A272" s="20">
        <v>45631</v>
      </c>
      <c r="B272" t="s">
        <v>103</v>
      </c>
      <c r="C272" t="s">
        <v>94</v>
      </c>
      <c r="D272" t="s">
        <v>110</v>
      </c>
      <c r="E272">
        <v>27</v>
      </c>
      <c r="F272">
        <v>59</v>
      </c>
      <c r="G272">
        <v>80</v>
      </c>
      <c r="H272">
        <v>45</v>
      </c>
      <c r="I272" s="11">
        <v>4720</v>
      </c>
      <c r="J272" s="11">
        <v>2655</v>
      </c>
      <c r="K272" s="11">
        <v>2065</v>
      </c>
      <c r="L272" t="s">
        <v>89</v>
      </c>
      <c r="M272" t="s">
        <v>118</v>
      </c>
      <c r="N272" t="s">
        <v>123</v>
      </c>
    </row>
    <row r="273" spans="1:14">
      <c r="A273" s="20">
        <v>45299</v>
      </c>
      <c r="B273" t="s">
        <v>103</v>
      </c>
      <c r="C273" t="s">
        <v>97</v>
      </c>
      <c r="D273" t="s">
        <v>111</v>
      </c>
      <c r="E273">
        <v>23</v>
      </c>
      <c r="F273">
        <v>41</v>
      </c>
      <c r="G273">
        <v>130</v>
      </c>
      <c r="H273">
        <v>70</v>
      </c>
      <c r="I273" s="11">
        <v>5330</v>
      </c>
      <c r="J273" s="11">
        <v>2870</v>
      </c>
      <c r="K273" s="11">
        <v>2460</v>
      </c>
      <c r="L273" t="s">
        <v>78</v>
      </c>
      <c r="M273" t="s">
        <v>115</v>
      </c>
      <c r="N273" t="s">
        <v>122</v>
      </c>
    </row>
    <row r="274" spans="1:14">
      <c r="A274" s="20">
        <v>45296</v>
      </c>
      <c r="B274" t="s">
        <v>103</v>
      </c>
      <c r="C274" t="s">
        <v>97</v>
      </c>
      <c r="D274" t="s">
        <v>111</v>
      </c>
      <c r="E274">
        <v>27</v>
      </c>
      <c r="F274">
        <v>35</v>
      </c>
      <c r="G274">
        <v>130</v>
      </c>
      <c r="H274">
        <v>70</v>
      </c>
      <c r="I274" s="11">
        <v>4550</v>
      </c>
      <c r="J274" s="11">
        <v>2450</v>
      </c>
      <c r="K274" s="11">
        <v>2100</v>
      </c>
      <c r="L274" t="s">
        <v>78</v>
      </c>
      <c r="M274" t="s">
        <v>115</v>
      </c>
      <c r="N274" t="s">
        <v>123</v>
      </c>
    </row>
    <row r="275" spans="1:14">
      <c r="A275" s="20">
        <v>45405</v>
      </c>
      <c r="B275" t="s">
        <v>106</v>
      </c>
      <c r="C275" t="s">
        <v>94</v>
      </c>
      <c r="D275" t="s">
        <v>112</v>
      </c>
      <c r="E275">
        <v>39</v>
      </c>
      <c r="F275">
        <v>162</v>
      </c>
      <c r="G275">
        <v>80</v>
      </c>
      <c r="H275">
        <v>45</v>
      </c>
      <c r="I275" s="11">
        <v>12960</v>
      </c>
      <c r="J275" s="11">
        <v>7290</v>
      </c>
      <c r="K275" s="11">
        <v>5670</v>
      </c>
      <c r="L275" t="s">
        <v>81</v>
      </c>
      <c r="M275" t="s">
        <v>116</v>
      </c>
      <c r="N275" t="s">
        <v>125</v>
      </c>
    </row>
    <row r="276" spans="1:14">
      <c r="A276" s="20">
        <v>45636</v>
      </c>
      <c r="B276" t="s">
        <v>105</v>
      </c>
      <c r="C276" t="s">
        <v>95</v>
      </c>
      <c r="D276" t="s">
        <v>110</v>
      </c>
      <c r="E276">
        <v>22</v>
      </c>
      <c r="F276">
        <v>25</v>
      </c>
      <c r="G276">
        <v>110</v>
      </c>
      <c r="H276">
        <v>60</v>
      </c>
      <c r="I276" s="11">
        <v>2750</v>
      </c>
      <c r="J276" s="11">
        <v>1500</v>
      </c>
      <c r="K276" s="11">
        <v>1250</v>
      </c>
      <c r="L276" t="s">
        <v>89</v>
      </c>
      <c r="M276" t="s">
        <v>118</v>
      </c>
      <c r="N276" t="s">
        <v>122</v>
      </c>
    </row>
    <row r="277" spans="1:14">
      <c r="A277" s="20">
        <v>45595</v>
      </c>
      <c r="B277" t="s">
        <v>103</v>
      </c>
      <c r="C277" t="s">
        <v>95</v>
      </c>
      <c r="D277" t="s">
        <v>111</v>
      </c>
      <c r="E277">
        <v>31</v>
      </c>
      <c r="F277">
        <v>93</v>
      </c>
      <c r="G277">
        <v>110</v>
      </c>
      <c r="H277">
        <v>60</v>
      </c>
      <c r="I277" s="11">
        <v>10230</v>
      </c>
      <c r="J277" s="11">
        <v>5580</v>
      </c>
      <c r="K277" s="11">
        <v>4650</v>
      </c>
      <c r="L277" t="s">
        <v>87</v>
      </c>
      <c r="M277" t="s">
        <v>118</v>
      </c>
      <c r="N277" t="s">
        <v>124</v>
      </c>
    </row>
    <row r="278" spans="1:14">
      <c r="A278" s="20">
        <v>45354</v>
      </c>
      <c r="B278" t="s">
        <v>104</v>
      </c>
      <c r="C278" t="s">
        <v>97</v>
      </c>
      <c r="D278" t="s">
        <v>112</v>
      </c>
      <c r="E278">
        <v>36</v>
      </c>
      <c r="F278">
        <v>122</v>
      </c>
      <c r="G278">
        <v>130</v>
      </c>
      <c r="H278">
        <v>70</v>
      </c>
      <c r="I278" s="11">
        <v>15860</v>
      </c>
      <c r="J278" s="11">
        <v>8540</v>
      </c>
      <c r="K278" s="11">
        <v>7320</v>
      </c>
      <c r="L278" t="s">
        <v>80</v>
      </c>
      <c r="M278" t="s">
        <v>115</v>
      </c>
      <c r="N278" t="s">
        <v>125</v>
      </c>
    </row>
    <row r="279" spans="1:14">
      <c r="A279" s="20">
        <v>45368</v>
      </c>
      <c r="B279" t="s">
        <v>103</v>
      </c>
      <c r="C279" t="s">
        <v>93</v>
      </c>
      <c r="D279" t="s">
        <v>111</v>
      </c>
      <c r="E279">
        <v>35</v>
      </c>
      <c r="F279">
        <v>151</v>
      </c>
      <c r="G279">
        <v>100</v>
      </c>
      <c r="H279">
        <v>55</v>
      </c>
      <c r="I279" s="11">
        <v>15100</v>
      </c>
      <c r="J279" s="11">
        <v>8305</v>
      </c>
      <c r="K279" s="11">
        <v>6795</v>
      </c>
      <c r="L279" t="s">
        <v>80</v>
      </c>
      <c r="M279" t="s">
        <v>115</v>
      </c>
      <c r="N279" t="s">
        <v>124</v>
      </c>
    </row>
    <row r="280" spans="1:14">
      <c r="A280" s="20">
        <v>45393</v>
      </c>
      <c r="B280" t="s">
        <v>106</v>
      </c>
      <c r="C280" t="s">
        <v>93</v>
      </c>
      <c r="D280" t="s">
        <v>112</v>
      </c>
      <c r="E280">
        <v>34</v>
      </c>
      <c r="F280">
        <v>72</v>
      </c>
      <c r="G280">
        <v>100</v>
      </c>
      <c r="H280">
        <v>55</v>
      </c>
      <c r="I280" s="11">
        <v>7200</v>
      </c>
      <c r="J280" s="11">
        <v>3960</v>
      </c>
      <c r="K280" s="11">
        <v>3240</v>
      </c>
      <c r="L280" t="s">
        <v>81</v>
      </c>
      <c r="M280" t="s">
        <v>116</v>
      </c>
      <c r="N280" t="s">
        <v>124</v>
      </c>
    </row>
    <row r="281" spans="1:14">
      <c r="A281" s="20">
        <v>45656</v>
      </c>
      <c r="B281" t="s">
        <v>103</v>
      </c>
      <c r="C281" t="s">
        <v>98</v>
      </c>
      <c r="D281" t="s">
        <v>111</v>
      </c>
      <c r="E281">
        <v>22</v>
      </c>
      <c r="F281">
        <v>34</v>
      </c>
      <c r="G281">
        <v>100</v>
      </c>
      <c r="H281">
        <v>55</v>
      </c>
      <c r="I281" s="11">
        <v>3400</v>
      </c>
      <c r="J281" s="11">
        <v>1870</v>
      </c>
      <c r="K281" s="11">
        <v>1530</v>
      </c>
      <c r="L281" t="s">
        <v>89</v>
      </c>
      <c r="M281" t="s">
        <v>118</v>
      </c>
      <c r="N281" t="s">
        <v>122</v>
      </c>
    </row>
    <row r="282" spans="1:14">
      <c r="A282" s="20">
        <v>45434</v>
      </c>
      <c r="B282" t="s">
        <v>105</v>
      </c>
      <c r="C282" t="s">
        <v>96</v>
      </c>
      <c r="D282" t="s">
        <v>111</v>
      </c>
      <c r="E282">
        <v>40</v>
      </c>
      <c r="F282">
        <v>196</v>
      </c>
      <c r="G282">
        <v>90</v>
      </c>
      <c r="H282">
        <v>50</v>
      </c>
      <c r="I282" s="11">
        <v>17640</v>
      </c>
      <c r="J282" s="11">
        <v>9800</v>
      </c>
      <c r="K282" s="11">
        <v>7840</v>
      </c>
      <c r="L282" t="s">
        <v>82</v>
      </c>
      <c r="M282" t="s">
        <v>116</v>
      </c>
      <c r="N282" t="s">
        <v>125</v>
      </c>
    </row>
    <row r="283" spans="1:14">
      <c r="A283" s="20">
        <v>45596</v>
      </c>
      <c r="B283" t="s">
        <v>104</v>
      </c>
      <c r="C283" t="s">
        <v>96</v>
      </c>
      <c r="D283" t="s">
        <v>110</v>
      </c>
      <c r="E283">
        <v>28</v>
      </c>
      <c r="F283">
        <v>40</v>
      </c>
      <c r="G283">
        <v>90</v>
      </c>
      <c r="H283">
        <v>50</v>
      </c>
      <c r="I283" s="11">
        <v>3600</v>
      </c>
      <c r="J283" s="11">
        <v>2000</v>
      </c>
      <c r="K283" s="11">
        <v>1600</v>
      </c>
      <c r="L283" t="s">
        <v>87</v>
      </c>
      <c r="M283" t="s">
        <v>118</v>
      </c>
      <c r="N283" t="s">
        <v>123</v>
      </c>
    </row>
    <row r="284" spans="1:14">
      <c r="A284" s="20">
        <v>45401</v>
      </c>
      <c r="B284" t="s">
        <v>105</v>
      </c>
      <c r="C284" t="s">
        <v>96</v>
      </c>
      <c r="D284" t="s">
        <v>111</v>
      </c>
      <c r="E284">
        <v>41</v>
      </c>
      <c r="F284">
        <v>134</v>
      </c>
      <c r="G284">
        <v>90</v>
      </c>
      <c r="H284">
        <v>50</v>
      </c>
      <c r="I284" s="11">
        <v>12060</v>
      </c>
      <c r="J284" s="11">
        <v>6700</v>
      </c>
      <c r="K284" s="11">
        <v>5360</v>
      </c>
      <c r="L284" t="s">
        <v>81</v>
      </c>
      <c r="M284" t="s">
        <v>116</v>
      </c>
      <c r="N284" t="s">
        <v>125</v>
      </c>
    </row>
    <row r="285" spans="1:14">
      <c r="A285" s="20">
        <v>45619</v>
      </c>
      <c r="B285" t="s">
        <v>104</v>
      </c>
      <c r="C285" t="s">
        <v>96</v>
      </c>
      <c r="D285" t="s">
        <v>110</v>
      </c>
      <c r="E285">
        <v>26</v>
      </c>
      <c r="F285">
        <v>35</v>
      </c>
      <c r="G285">
        <v>90</v>
      </c>
      <c r="H285">
        <v>50</v>
      </c>
      <c r="I285" s="11">
        <v>3150</v>
      </c>
      <c r="J285" s="11">
        <v>1750</v>
      </c>
      <c r="K285" s="11">
        <v>1400</v>
      </c>
      <c r="L285" t="s">
        <v>88</v>
      </c>
      <c r="M285" t="s">
        <v>118</v>
      </c>
      <c r="N285" t="s">
        <v>123</v>
      </c>
    </row>
    <row r="286" spans="1:14">
      <c r="A286" s="20">
        <v>45303</v>
      </c>
      <c r="B286" t="s">
        <v>104</v>
      </c>
      <c r="C286" t="s">
        <v>94</v>
      </c>
      <c r="D286" t="s">
        <v>110</v>
      </c>
      <c r="E286">
        <v>24</v>
      </c>
      <c r="F286">
        <v>45</v>
      </c>
      <c r="G286">
        <v>80</v>
      </c>
      <c r="H286">
        <v>45</v>
      </c>
      <c r="I286" s="11">
        <v>3600</v>
      </c>
      <c r="J286" s="11">
        <v>2025</v>
      </c>
      <c r="K286" s="11">
        <v>1575</v>
      </c>
      <c r="L286" t="s">
        <v>78</v>
      </c>
      <c r="M286" t="s">
        <v>115</v>
      </c>
      <c r="N286" t="s">
        <v>122</v>
      </c>
    </row>
    <row r="287" spans="1:14">
      <c r="A287" s="20">
        <v>45617</v>
      </c>
      <c r="B287" t="s">
        <v>105</v>
      </c>
      <c r="C287" t="s">
        <v>95</v>
      </c>
      <c r="D287" t="s">
        <v>111</v>
      </c>
      <c r="E287">
        <v>24</v>
      </c>
      <c r="F287">
        <v>30</v>
      </c>
      <c r="G287">
        <v>110</v>
      </c>
      <c r="H287">
        <v>60</v>
      </c>
      <c r="I287" s="11">
        <v>3300</v>
      </c>
      <c r="J287" s="11">
        <v>1800</v>
      </c>
      <c r="K287" s="11">
        <v>1500</v>
      </c>
      <c r="L287" t="s">
        <v>88</v>
      </c>
      <c r="M287" t="s">
        <v>118</v>
      </c>
      <c r="N287" t="s">
        <v>122</v>
      </c>
    </row>
    <row r="288" spans="1:14">
      <c r="A288" s="20">
        <v>45398</v>
      </c>
      <c r="B288" t="s">
        <v>105</v>
      </c>
      <c r="C288" t="s">
        <v>94</v>
      </c>
      <c r="D288" t="s">
        <v>112</v>
      </c>
      <c r="E288">
        <v>35</v>
      </c>
      <c r="F288">
        <v>74</v>
      </c>
      <c r="G288">
        <v>80</v>
      </c>
      <c r="H288">
        <v>45</v>
      </c>
      <c r="I288" s="11">
        <v>5920</v>
      </c>
      <c r="J288" s="11">
        <v>3330</v>
      </c>
      <c r="K288" s="11">
        <v>2590</v>
      </c>
      <c r="L288" t="s">
        <v>81</v>
      </c>
      <c r="M288" t="s">
        <v>116</v>
      </c>
      <c r="N288" t="s">
        <v>124</v>
      </c>
    </row>
    <row r="289" spans="1:14">
      <c r="A289" s="20">
        <v>45494</v>
      </c>
      <c r="B289" t="s">
        <v>103</v>
      </c>
      <c r="C289" t="s">
        <v>93</v>
      </c>
      <c r="D289" t="s">
        <v>110</v>
      </c>
      <c r="E289">
        <v>27</v>
      </c>
      <c r="F289">
        <v>48</v>
      </c>
      <c r="G289">
        <v>100</v>
      </c>
      <c r="H289">
        <v>55</v>
      </c>
      <c r="I289" s="11">
        <v>4800</v>
      </c>
      <c r="J289" s="11">
        <v>2640</v>
      </c>
      <c r="K289" s="11">
        <v>2160</v>
      </c>
      <c r="L289" t="s">
        <v>84</v>
      </c>
      <c r="M289" t="s">
        <v>117</v>
      </c>
      <c r="N289" t="s">
        <v>123</v>
      </c>
    </row>
    <row r="290" spans="1:14">
      <c r="A290" s="20">
        <v>45625</v>
      </c>
      <c r="B290" t="s">
        <v>103</v>
      </c>
      <c r="C290" t="s">
        <v>93</v>
      </c>
      <c r="D290" t="s">
        <v>110</v>
      </c>
      <c r="E290">
        <v>20</v>
      </c>
      <c r="F290">
        <v>36</v>
      </c>
      <c r="G290">
        <v>100</v>
      </c>
      <c r="H290">
        <v>55</v>
      </c>
      <c r="I290" s="11">
        <v>3600</v>
      </c>
      <c r="J290" s="11">
        <v>1980</v>
      </c>
      <c r="K290" s="11">
        <v>1620</v>
      </c>
      <c r="L290" t="s">
        <v>88</v>
      </c>
      <c r="M290" t="s">
        <v>118</v>
      </c>
      <c r="N290" t="s">
        <v>122</v>
      </c>
    </row>
    <row r="291" spans="1:14">
      <c r="A291" s="20">
        <v>45427</v>
      </c>
      <c r="B291" t="s">
        <v>105</v>
      </c>
      <c r="C291" t="s">
        <v>93</v>
      </c>
      <c r="D291" t="s">
        <v>111</v>
      </c>
      <c r="E291">
        <v>35</v>
      </c>
      <c r="F291">
        <v>126</v>
      </c>
      <c r="G291">
        <v>100</v>
      </c>
      <c r="H291">
        <v>55</v>
      </c>
      <c r="I291" s="11">
        <v>12600</v>
      </c>
      <c r="J291" s="11">
        <v>6930</v>
      </c>
      <c r="K291" s="11">
        <v>5670</v>
      </c>
      <c r="L291" t="s">
        <v>82</v>
      </c>
      <c r="M291" t="s">
        <v>116</v>
      </c>
      <c r="N291" t="s">
        <v>124</v>
      </c>
    </row>
    <row r="292" spans="1:14">
      <c r="A292" s="20">
        <v>45381</v>
      </c>
      <c r="B292" t="s">
        <v>103</v>
      </c>
      <c r="C292" t="s">
        <v>94</v>
      </c>
      <c r="D292" t="s">
        <v>111</v>
      </c>
      <c r="E292">
        <v>38</v>
      </c>
      <c r="F292">
        <v>123</v>
      </c>
      <c r="G292">
        <v>80</v>
      </c>
      <c r="H292">
        <v>45</v>
      </c>
      <c r="I292" s="11">
        <v>9840</v>
      </c>
      <c r="J292" s="11">
        <v>5535</v>
      </c>
      <c r="K292" s="11">
        <v>4305</v>
      </c>
      <c r="L292" t="s">
        <v>80</v>
      </c>
      <c r="M292" t="s">
        <v>115</v>
      </c>
      <c r="N292" t="s">
        <v>125</v>
      </c>
    </row>
    <row r="293" spans="1:14">
      <c r="A293" s="20">
        <v>45450</v>
      </c>
      <c r="B293" t="s">
        <v>103</v>
      </c>
      <c r="C293" t="s">
        <v>95</v>
      </c>
      <c r="D293" t="s">
        <v>111</v>
      </c>
      <c r="E293">
        <v>39</v>
      </c>
      <c r="F293">
        <v>91</v>
      </c>
      <c r="G293">
        <v>110</v>
      </c>
      <c r="H293">
        <v>60</v>
      </c>
      <c r="I293" s="11">
        <v>10010</v>
      </c>
      <c r="J293" s="11">
        <v>5460</v>
      </c>
      <c r="K293" s="11">
        <v>4550</v>
      </c>
      <c r="L293" t="s">
        <v>83</v>
      </c>
      <c r="M293" t="s">
        <v>116</v>
      </c>
      <c r="N293" t="s">
        <v>125</v>
      </c>
    </row>
    <row r="294" spans="1:14">
      <c r="A294" s="20">
        <v>45327</v>
      </c>
      <c r="B294" t="s">
        <v>103</v>
      </c>
      <c r="C294" t="s">
        <v>93</v>
      </c>
      <c r="D294" t="s">
        <v>111</v>
      </c>
      <c r="E294">
        <v>33</v>
      </c>
      <c r="F294">
        <v>73</v>
      </c>
      <c r="G294">
        <v>100</v>
      </c>
      <c r="H294">
        <v>55</v>
      </c>
      <c r="I294" s="11">
        <v>7300</v>
      </c>
      <c r="J294" s="11">
        <v>4015</v>
      </c>
      <c r="K294" s="11">
        <v>3285</v>
      </c>
      <c r="L294" t="s">
        <v>79</v>
      </c>
      <c r="M294" t="s">
        <v>115</v>
      </c>
      <c r="N294" t="s">
        <v>124</v>
      </c>
    </row>
    <row r="295" spans="1:14">
      <c r="A295" s="20">
        <v>45464</v>
      </c>
      <c r="B295" t="s">
        <v>106</v>
      </c>
      <c r="C295" t="s">
        <v>96</v>
      </c>
      <c r="D295" t="s">
        <v>111</v>
      </c>
      <c r="E295">
        <v>36</v>
      </c>
      <c r="F295">
        <v>167</v>
      </c>
      <c r="G295">
        <v>90</v>
      </c>
      <c r="H295">
        <v>50</v>
      </c>
      <c r="I295" s="11">
        <v>15030</v>
      </c>
      <c r="J295" s="11">
        <v>8350</v>
      </c>
      <c r="K295" s="11">
        <v>6680</v>
      </c>
      <c r="L295" t="s">
        <v>83</v>
      </c>
      <c r="M295" t="s">
        <v>116</v>
      </c>
      <c r="N295" t="s">
        <v>125</v>
      </c>
    </row>
    <row r="296" spans="1:14">
      <c r="A296" s="20">
        <v>45505</v>
      </c>
      <c r="B296" t="s">
        <v>105</v>
      </c>
      <c r="C296" t="s">
        <v>96</v>
      </c>
      <c r="D296" t="s">
        <v>111</v>
      </c>
      <c r="E296">
        <v>33</v>
      </c>
      <c r="F296">
        <v>71</v>
      </c>
      <c r="G296">
        <v>90</v>
      </c>
      <c r="H296">
        <v>50</v>
      </c>
      <c r="I296" s="11">
        <v>6390</v>
      </c>
      <c r="J296" s="11">
        <v>3550</v>
      </c>
      <c r="K296" s="11">
        <v>2840</v>
      </c>
      <c r="L296" t="s">
        <v>85</v>
      </c>
      <c r="M296" t="s">
        <v>117</v>
      </c>
      <c r="N296" t="s">
        <v>124</v>
      </c>
    </row>
    <row r="297" spans="1:14">
      <c r="A297" s="20">
        <v>45443</v>
      </c>
      <c r="B297" t="s">
        <v>103</v>
      </c>
      <c r="C297" t="s">
        <v>93</v>
      </c>
      <c r="D297" t="s">
        <v>111</v>
      </c>
      <c r="E297">
        <v>39</v>
      </c>
      <c r="F297">
        <v>99</v>
      </c>
      <c r="G297">
        <v>100</v>
      </c>
      <c r="H297">
        <v>55</v>
      </c>
      <c r="I297" s="11">
        <v>9900</v>
      </c>
      <c r="J297" s="11">
        <v>5445</v>
      </c>
      <c r="K297" s="11">
        <v>4455</v>
      </c>
      <c r="L297" t="s">
        <v>82</v>
      </c>
      <c r="M297" t="s">
        <v>116</v>
      </c>
      <c r="N297" t="s">
        <v>125</v>
      </c>
    </row>
    <row r="298" spans="1:14">
      <c r="A298" s="20">
        <v>45310</v>
      </c>
      <c r="B298" t="s">
        <v>105</v>
      </c>
      <c r="C298" t="s">
        <v>98</v>
      </c>
      <c r="D298" t="s">
        <v>111</v>
      </c>
      <c r="E298">
        <v>21</v>
      </c>
      <c r="F298">
        <v>28</v>
      </c>
      <c r="G298">
        <v>100</v>
      </c>
      <c r="H298">
        <v>55</v>
      </c>
      <c r="I298" s="11">
        <v>2800</v>
      </c>
      <c r="J298" s="11">
        <v>1540</v>
      </c>
      <c r="K298" s="11">
        <v>1260</v>
      </c>
      <c r="L298" t="s">
        <v>78</v>
      </c>
      <c r="M298" t="s">
        <v>115</v>
      </c>
      <c r="N298" t="s">
        <v>122</v>
      </c>
    </row>
    <row r="299" spans="1:14">
      <c r="A299" s="20">
        <v>45533</v>
      </c>
      <c r="B299" t="s">
        <v>103</v>
      </c>
      <c r="C299" t="s">
        <v>94</v>
      </c>
      <c r="D299" t="s">
        <v>112</v>
      </c>
      <c r="E299">
        <v>32</v>
      </c>
      <c r="F299">
        <v>62</v>
      </c>
      <c r="G299">
        <v>80</v>
      </c>
      <c r="H299">
        <v>45</v>
      </c>
      <c r="I299" s="11">
        <v>4960</v>
      </c>
      <c r="J299" s="11">
        <v>2790</v>
      </c>
      <c r="K299" s="11">
        <v>2170</v>
      </c>
      <c r="L299" t="s">
        <v>85</v>
      </c>
      <c r="M299" t="s">
        <v>117</v>
      </c>
      <c r="N299" t="s">
        <v>124</v>
      </c>
    </row>
    <row r="300" spans="1:14">
      <c r="A300" s="20">
        <v>45440</v>
      </c>
      <c r="B300" t="s">
        <v>103</v>
      </c>
      <c r="C300" t="s">
        <v>94</v>
      </c>
      <c r="D300" t="s">
        <v>111</v>
      </c>
      <c r="E300">
        <v>41</v>
      </c>
      <c r="F300">
        <v>60</v>
      </c>
      <c r="G300">
        <v>80</v>
      </c>
      <c r="H300">
        <v>45</v>
      </c>
      <c r="I300" s="11">
        <v>4800</v>
      </c>
      <c r="J300" s="11">
        <v>2700</v>
      </c>
      <c r="K300" s="11">
        <v>2100</v>
      </c>
      <c r="L300" t="s">
        <v>82</v>
      </c>
      <c r="M300" t="s">
        <v>116</v>
      </c>
      <c r="N300" t="s">
        <v>125</v>
      </c>
    </row>
    <row r="301" spans="1:14">
      <c r="A301" s="20">
        <v>45369</v>
      </c>
      <c r="B301" t="s">
        <v>103</v>
      </c>
      <c r="C301" t="s">
        <v>96</v>
      </c>
      <c r="D301" t="s">
        <v>110</v>
      </c>
      <c r="E301">
        <v>34</v>
      </c>
      <c r="F301">
        <v>113</v>
      </c>
      <c r="G301">
        <v>90</v>
      </c>
      <c r="H301">
        <v>50</v>
      </c>
      <c r="I301" s="11">
        <v>10170</v>
      </c>
      <c r="J301" s="11">
        <v>5650</v>
      </c>
      <c r="K301" s="11">
        <v>4520</v>
      </c>
      <c r="L301" t="s">
        <v>80</v>
      </c>
      <c r="M301" t="s">
        <v>115</v>
      </c>
      <c r="N301" t="s">
        <v>124</v>
      </c>
    </row>
    <row r="302" spans="1:14">
      <c r="A302" s="20">
        <v>45554</v>
      </c>
      <c r="B302" t="s">
        <v>104</v>
      </c>
      <c r="C302" t="s">
        <v>95</v>
      </c>
      <c r="D302" t="s">
        <v>110</v>
      </c>
      <c r="E302">
        <v>34</v>
      </c>
      <c r="F302">
        <v>68</v>
      </c>
      <c r="G302">
        <v>110</v>
      </c>
      <c r="H302">
        <v>60</v>
      </c>
      <c r="I302" s="11">
        <v>7480</v>
      </c>
      <c r="J302" s="11">
        <v>4080</v>
      </c>
      <c r="K302" s="11">
        <v>3400</v>
      </c>
      <c r="L302" t="s">
        <v>86</v>
      </c>
      <c r="M302" t="s">
        <v>117</v>
      </c>
      <c r="N302" t="s">
        <v>124</v>
      </c>
    </row>
    <row r="303" spans="1:14">
      <c r="A303" s="20">
        <v>45532</v>
      </c>
      <c r="B303" t="s">
        <v>103</v>
      </c>
      <c r="C303" t="s">
        <v>94</v>
      </c>
      <c r="D303" t="s">
        <v>111</v>
      </c>
      <c r="E303">
        <v>31</v>
      </c>
      <c r="F303">
        <v>97</v>
      </c>
      <c r="G303">
        <v>80</v>
      </c>
      <c r="H303">
        <v>45</v>
      </c>
      <c r="I303" s="11">
        <v>7760</v>
      </c>
      <c r="J303" s="11">
        <v>4365</v>
      </c>
      <c r="K303" s="11">
        <v>3395</v>
      </c>
      <c r="L303" t="s">
        <v>85</v>
      </c>
      <c r="M303" t="s">
        <v>117</v>
      </c>
      <c r="N303" t="s">
        <v>124</v>
      </c>
    </row>
    <row r="304" spans="1:14">
      <c r="A304" s="20">
        <v>45333</v>
      </c>
      <c r="B304" t="s">
        <v>105</v>
      </c>
      <c r="C304" t="s">
        <v>97</v>
      </c>
      <c r="D304" t="s">
        <v>110</v>
      </c>
      <c r="E304">
        <v>28</v>
      </c>
      <c r="F304">
        <v>65</v>
      </c>
      <c r="G304">
        <v>130</v>
      </c>
      <c r="H304">
        <v>70</v>
      </c>
      <c r="I304" s="11">
        <v>8450</v>
      </c>
      <c r="J304" s="11">
        <v>4550</v>
      </c>
      <c r="K304" s="11">
        <v>3900</v>
      </c>
      <c r="L304" t="s">
        <v>79</v>
      </c>
      <c r="M304" t="s">
        <v>115</v>
      </c>
      <c r="N304" t="s">
        <v>123</v>
      </c>
    </row>
    <row r="305" spans="1:14">
      <c r="A305" s="20">
        <v>45364</v>
      </c>
      <c r="B305" t="s">
        <v>103</v>
      </c>
      <c r="C305" t="s">
        <v>93</v>
      </c>
      <c r="D305" t="s">
        <v>110</v>
      </c>
      <c r="E305">
        <v>32</v>
      </c>
      <c r="F305">
        <v>62</v>
      </c>
      <c r="G305">
        <v>100</v>
      </c>
      <c r="H305">
        <v>55</v>
      </c>
      <c r="I305" s="11">
        <v>6200</v>
      </c>
      <c r="J305" s="11">
        <v>3410</v>
      </c>
      <c r="K305" s="11">
        <v>2790</v>
      </c>
      <c r="L305" t="s">
        <v>80</v>
      </c>
      <c r="M305" t="s">
        <v>115</v>
      </c>
      <c r="N305" t="s">
        <v>124</v>
      </c>
    </row>
    <row r="306" spans="1:14">
      <c r="A306" s="20">
        <v>45607</v>
      </c>
      <c r="B306" t="s">
        <v>106</v>
      </c>
      <c r="C306" t="s">
        <v>94</v>
      </c>
      <c r="D306" t="s">
        <v>110</v>
      </c>
      <c r="E306">
        <v>25</v>
      </c>
      <c r="F306">
        <v>30</v>
      </c>
      <c r="G306">
        <v>80</v>
      </c>
      <c r="H306">
        <v>45</v>
      </c>
      <c r="I306" s="11">
        <v>2400</v>
      </c>
      <c r="J306" s="11">
        <v>1350</v>
      </c>
      <c r="K306" s="11">
        <v>1050</v>
      </c>
      <c r="L306" t="s">
        <v>88</v>
      </c>
      <c r="M306" t="s">
        <v>118</v>
      </c>
      <c r="N306" t="s">
        <v>123</v>
      </c>
    </row>
    <row r="307" spans="1:14">
      <c r="A307" s="20">
        <v>45521</v>
      </c>
      <c r="B307" t="s">
        <v>105</v>
      </c>
      <c r="C307" t="s">
        <v>96</v>
      </c>
      <c r="D307" t="s">
        <v>110</v>
      </c>
      <c r="E307">
        <v>28</v>
      </c>
      <c r="F307">
        <v>87</v>
      </c>
      <c r="G307">
        <v>90</v>
      </c>
      <c r="H307">
        <v>50</v>
      </c>
      <c r="I307" s="11">
        <v>7830</v>
      </c>
      <c r="J307" s="11">
        <v>4350</v>
      </c>
      <c r="K307" s="11">
        <v>3480</v>
      </c>
      <c r="L307" t="s">
        <v>85</v>
      </c>
      <c r="M307" t="s">
        <v>117</v>
      </c>
      <c r="N307" t="s">
        <v>123</v>
      </c>
    </row>
    <row r="308" spans="1:14">
      <c r="A308" s="20">
        <v>45633</v>
      </c>
      <c r="B308" t="s">
        <v>106</v>
      </c>
      <c r="C308" t="s">
        <v>95</v>
      </c>
      <c r="D308" t="s">
        <v>111</v>
      </c>
      <c r="E308">
        <v>20</v>
      </c>
      <c r="F308">
        <v>26</v>
      </c>
      <c r="G308">
        <v>110</v>
      </c>
      <c r="H308">
        <v>60</v>
      </c>
      <c r="I308" s="11">
        <v>2860</v>
      </c>
      <c r="J308" s="11">
        <v>1560</v>
      </c>
      <c r="K308" s="11">
        <v>1300</v>
      </c>
      <c r="L308" t="s">
        <v>89</v>
      </c>
      <c r="M308" t="s">
        <v>118</v>
      </c>
      <c r="N308" t="s">
        <v>122</v>
      </c>
    </row>
    <row r="309" spans="1:14">
      <c r="A309" s="20">
        <v>45645</v>
      </c>
      <c r="B309" t="s">
        <v>103</v>
      </c>
      <c r="C309" t="s">
        <v>93</v>
      </c>
      <c r="D309" t="s">
        <v>111</v>
      </c>
      <c r="E309">
        <v>22</v>
      </c>
      <c r="F309">
        <v>45</v>
      </c>
      <c r="G309">
        <v>100</v>
      </c>
      <c r="H309">
        <v>55</v>
      </c>
      <c r="I309" s="11">
        <v>4500</v>
      </c>
      <c r="J309" s="11">
        <v>2475</v>
      </c>
      <c r="K309" s="11">
        <v>2025</v>
      </c>
      <c r="L309" t="s">
        <v>89</v>
      </c>
      <c r="M309" t="s">
        <v>118</v>
      </c>
      <c r="N309" t="s">
        <v>122</v>
      </c>
    </row>
    <row r="310" spans="1:14">
      <c r="A310" s="20">
        <v>45624</v>
      </c>
      <c r="B310" t="s">
        <v>105</v>
      </c>
      <c r="C310" t="s">
        <v>96</v>
      </c>
      <c r="D310" t="s">
        <v>110</v>
      </c>
      <c r="E310">
        <v>26</v>
      </c>
      <c r="F310">
        <v>51</v>
      </c>
      <c r="G310">
        <v>90</v>
      </c>
      <c r="H310">
        <v>50</v>
      </c>
      <c r="I310" s="11">
        <v>4590</v>
      </c>
      <c r="J310" s="11">
        <v>2550</v>
      </c>
      <c r="K310" s="11">
        <v>2040</v>
      </c>
      <c r="L310" t="s">
        <v>88</v>
      </c>
      <c r="M310" t="s">
        <v>118</v>
      </c>
      <c r="N310" t="s">
        <v>123</v>
      </c>
    </row>
    <row r="311" spans="1:14">
      <c r="A311" s="20">
        <v>45346</v>
      </c>
      <c r="B311" t="s">
        <v>103</v>
      </c>
      <c r="C311" t="s">
        <v>95</v>
      </c>
      <c r="D311" t="s">
        <v>111</v>
      </c>
      <c r="E311">
        <v>32</v>
      </c>
      <c r="F311">
        <v>32</v>
      </c>
      <c r="G311">
        <v>110</v>
      </c>
      <c r="H311">
        <v>60</v>
      </c>
      <c r="I311" s="11">
        <v>3520</v>
      </c>
      <c r="J311" s="11">
        <v>1920</v>
      </c>
      <c r="K311" s="11">
        <v>1600</v>
      </c>
      <c r="L311" t="s">
        <v>79</v>
      </c>
      <c r="M311" t="s">
        <v>115</v>
      </c>
      <c r="N311" t="s">
        <v>124</v>
      </c>
    </row>
    <row r="312" spans="1:14">
      <c r="A312" s="20">
        <v>45639</v>
      </c>
      <c r="B312" t="s">
        <v>103</v>
      </c>
      <c r="C312" t="s">
        <v>97</v>
      </c>
      <c r="D312" t="s">
        <v>111</v>
      </c>
      <c r="E312">
        <v>18</v>
      </c>
      <c r="F312">
        <v>53</v>
      </c>
      <c r="G312">
        <v>130</v>
      </c>
      <c r="H312">
        <v>70</v>
      </c>
      <c r="I312" s="11">
        <v>6890</v>
      </c>
      <c r="J312" s="11">
        <v>3710</v>
      </c>
      <c r="K312" s="11">
        <v>3180</v>
      </c>
      <c r="L312" t="s">
        <v>89</v>
      </c>
      <c r="M312" t="s">
        <v>118</v>
      </c>
      <c r="N312" t="s">
        <v>122</v>
      </c>
    </row>
    <row r="313" spans="1:14">
      <c r="A313" s="20">
        <v>45412</v>
      </c>
      <c r="B313" t="s">
        <v>103</v>
      </c>
      <c r="C313" t="s">
        <v>95</v>
      </c>
      <c r="D313" t="s">
        <v>110</v>
      </c>
      <c r="E313">
        <v>32</v>
      </c>
      <c r="F313">
        <v>81</v>
      </c>
      <c r="G313">
        <v>110</v>
      </c>
      <c r="H313">
        <v>60</v>
      </c>
      <c r="I313" s="11">
        <v>8910</v>
      </c>
      <c r="J313" s="11">
        <v>4860</v>
      </c>
      <c r="K313" s="11">
        <v>4050</v>
      </c>
      <c r="L313" t="s">
        <v>81</v>
      </c>
      <c r="M313" t="s">
        <v>116</v>
      </c>
      <c r="N313" t="s">
        <v>124</v>
      </c>
    </row>
    <row r="314" spans="1:14">
      <c r="A314" s="20">
        <v>45563</v>
      </c>
      <c r="B314" t="s">
        <v>103</v>
      </c>
      <c r="C314" t="s">
        <v>96</v>
      </c>
      <c r="D314" t="s">
        <v>110</v>
      </c>
      <c r="E314">
        <v>26</v>
      </c>
      <c r="F314">
        <v>65</v>
      </c>
      <c r="G314">
        <v>90</v>
      </c>
      <c r="H314">
        <v>50</v>
      </c>
      <c r="I314" s="11">
        <v>5850</v>
      </c>
      <c r="J314" s="11">
        <v>3250</v>
      </c>
      <c r="K314" s="11">
        <v>2600</v>
      </c>
      <c r="L314" t="s">
        <v>86</v>
      </c>
      <c r="M314" t="s">
        <v>117</v>
      </c>
      <c r="N314" t="s">
        <v>123</v>
      </c>
    </row>
    <row r="315" spans="1:14">
      <c r="A315" s="20">
        <v>45442</v>
      </c>
      <c r="B315" t="s">
        <v>104</v>
      </c>
      <c r="C315" t="s">
        <v>93</v>
      </c>
      <c r="D315" t="s">
        <v>110</v>
      </c>
      <c r="E315">
        <v>34</v>
      </c>
      <c r="F315">
        <v>124</v>
      </c>
      <c r="G315">
        <v>100</v>
      </c>
      <c r="H315">
        <v>55</v>
      </c>
      <c r="I315" s="11">
        <v>12400</v>
      </c>
      <c r="J315" s="11">
        <v>6820</v>
      </c>
      <c r="K315" s="11">
        <v>5580</v>
      </c>
      <c r="L315" t="s">
        <v>82</v>
      </c>
      <c r="M315" t="s">
        <v>116</v>
      </c>
      <c r="N315" t="s">
        <v>124</v>
      </c>
    </row>
    <row r="316" spans="1:14">
      <c r="A316" s="20">
        <v>45471</v>
      </c>
      <c r="B316" t="s">
        <v>106</v>
      </c>
      <c r="C316" t="s">
        <v>93</v>
      </c>
      <c r="D316" t="s">
        <v>112</v>
      </c>
      <c r="E316">
        <v>34</v>
      </c>
      <c r="F316">
        <v>55</v>
      </c>
      <c r="G316">
        <v>100</v>
      </c>
      <c r="H316">
        <v>55</v>
      </c>
      <c r="I316" s="11">
        <v>5500</v>
      </c>
      <c r="J316" s="11">
        <v>3025</v>
      </c>
      <c r="K316" s="11">
        <v>2475</v>
      </c>
      <c r="L316" t="s">
        <v>83</v>
      </c>
      <c r="M316" t="s">
        <v>116</v>
      </c>
      <c r="N316" t="s">
        <v>124</v>
      </c>
    </row>
    <row r="317" spans="1:14">
      <c r="A317" s="20">
        <v>45434</v>
      </c>
      <c r="B317" t="s">
        <v>106</v>
      </c>
      <c r="C317" t="s">
        <v>97</v>
      </c>
      <c r="D317" t="s">
        <v>110</v>
      </c>
      <c r="E317">
        <v>41</v>
      </c>
      <c r="F317">
        <v>98</v>
      </c>
      <c r="G317">
        <v>130</v>
      </c>
      <c r="H317">
        <v>70</v>
      </c>
      <c r="I317" s="11">
        <v>12740</v>
      </c>
      <c r="J317" s="11">
        <v>6860</v>
      </c>
      <c r="K317" s="11">
        <v>5880</v>
      </c>
      <c r="L317" t="s">
        <v>82</v>
      </c>
      <c r="M317" t="s">
        <v>116</v>
      </c>
      <c r="N317" t="s">
        <v>125</v>
      </c>
    </row>
    <row r="318" spans="1:14">
      <c r="A318" s="20">
        <v>45457</v>
      </c>
      <c r="B318" t="s">
        <v>104</v>
      </c>
      <c r="C318" t="s">
        <v>98</v>
      </c>
      <c r="D318" t="s">
        <v>112</v>
      </c>
      <c r="E318">
        <v>34</v>
      </c>
      <c r="F318">
        <v>183</v>
      </c>
      <c r="G318">
        <v>100</v>
      </c>
      <c r="H318">
        <v>55</v>
      </c>
      <c r="I318" s="11">
        <v>18300</v>
      </c>
      <c r="J318" s="11">
        <v>10065</v>
      </c>
      <c r="K318" s="11">
        <v>8235</v>
      </c>
      <c r="L318" t="s">
        <v>83</v>
      </c>
      <c r="M318" t="s">
        <v>116</v>
      </c>
      <c r="N318" t="s">
        <v>124</v>
      </c>
    </row>
    <row r="319" spans="1:14">
      <c r="A319" s="20">
        <v>45627</v>
      </c>
      <c r="B319" t="s">
        <v>106</v>
      </c>
      <c r="C319" t="s">
        <v>94</v>
      </c>
      <c r="D319" t="s">
        <v>110</v>
      </c>
      <c r="E319">
        <v>19</v>
      </c>
      <c r="F319">
        <v>44</v>
      </c>
      <c r="G319">
        <v>80</v>
      </c>
      <c r="H319">
        <v>45</v>
      </c>
      <c r="I319" s="11">
        <v>3520</v>
      </c>
      <c r="J319" s="11">
        <v>1980</v>
      </c>
      <c r="K319" s="11">
        <v>1540</v>
      </c>
      <c r="L319" t="s">
        <v>89</v>
      </c>
      <c r="M319" t="s">
        <v>118</v>
      </c>
      <c r="N319" t="s">
        <v>122</v>
      </c>
    </row>
    <row r="320" spans="1:14">
      <c r="A320" s="20">
        <v>45638</v>
      </c>
      <c r="B320" t="s">
        <v>103</v>
      </c>
      <c r="C320" t="s">
        <v>95</v>
      </c>
      <c r="D320" t="s">
        <v>112</v>
      </c>
      <c r="E320">
        <v>26</v>
      </c>
      <c r="F320">
        <v>19</v>
      </c>
      <c r="G320">
        <v>110</v>
      </c>
      <c r="H320">
        <v>60</v>
      </c>
      <c r="I320" s="11">
        <v>2090</v>
      </c>
      <c r="J320" s="11">
        <v>1140</v>
      </c>
      <c r="K320" s="11">
        <v>950</v>
      </c>
      <c r="L320" t="s">
        <v>89</v>
      </c>
      <c r="M320" t="s">
        <v>118</v>
      </c>
      <c r="N320" t="s">
        <v>123</v>
      </c>
    </row>
    <row r="321" spans="1:14">
      <c r="A321" s="20">
        <v>45572</v>
      </c>
      <c r="B321" t="s">
        <v>103</v>
      </c>
      <c r="C321" t="s">
        <v>93</v>
      </c>
      <c r="D321" t="s">
        <v>111</v>
      </c>
      <c r="E321">
        <v>31</v>
      </c>
      <c r="F321">
        <v>94</v>
      </c>
      <c r="G321">
        <v>100</v>
      </c>
      <c r="H321">
        <v>55</v>
      </c>
      <c r="I321" s="11">
        <v>9400</v>
      </c>
      <c r="J321" s="11">
        <v>5170</v>
      </c>
      <c r="K321" s="11">
        <v>4230</v>
      </c>
      <c r="L321" t="s">
        <v>87</v>
      </c>
      <c r="M321" t="s">
        <v>118</v>
      </c>
      <c r="N321" t="s">
        <v>124</v>
      </c>
    </row>
    <row r="322" spans="1:14">
      <c r="A322" s="20">
        <v>45529</v>
      </c>
      <c r="B322" t="s">
        <v>104</v>
      </c>
      <c r="C322" t="s">
        <v>94</v>
      </c>
      <c r="D322" t="s">
        <v>110</v>
      </c>
      <c r="E322">
        <v>30</v>
      </c>
      <c r="F322">
        <v>54</v>
      </c>
      <c r="G322">
        <v>80</v>
      </c>
      <c r="H322">
        <v>45</v>
      </c>
      <c r="I322" s="11">
        <v>4320</v>
      </c>
      <c r="J322" s="11">
        <v>2430</v>
      </c>
      <c r="K322" s="11">
        <v>1890</v>
      </c>
      <c r="L322" t="s">
        <v>85</v>
      </c>
      <c r="M322" t="s">
        <v>117</v>
      </c>
      <c r="N322" t="s">
        <v>123</v>
      </c>
    </row>
    <row r="323" spans="1:14">
      <c r="A323" s="20">
        <v>45316</v>
      </c>
      <c r="B323" t="s">
        <v>103</v>
      </c>
      <c r="C323" t="s">
        <v>94</v>
      </c>
      <c r="D323" t="s">
        <v>111</v>
      </c>
      <c r="E323">
        <v>21</v>
      </c>
      <c r="F323">
        <v>41</v>
      </c>
      <c r="G323">
        <v>80</v>
      </c>
      <c r="H323">
        <v>45</v>
      </c>
      <c r="I323" s="11">
        <v>3280</v>
      </c>
      <c r="J323" s="11">
        <v>1845</v>
      </c>
      <c r="K323" s="11">
        <v>1435</v>
      </c>
      <c r="L323" t="s">
        <v>78</v>
      </c>
      <c r="M323" t="s">
        <v>115</v>
      </c>
      <c r="N323" t="s">
        <v>122</v>
      </c>
    </row>
    <row r="324" spans="1:14">
      <c r="A324" s="20">
        <v>45437</v>
      </c>
      <c r="B324" t="s">
        <v>106</v>
      </c>
      <c r="C324" t="s">
        <v>93</v>
      </c>
      <c r="D324" t="s">
        <v>110</v>
      </c>
      <c r="E324">
        <v>33</v>
      </c>
      <c r="F324">
        <v>92</v>
      </c>
      <c r="G324">
        <v>100</v>
      </c>
      <c r="H324">
        <v>55</v>
      </c>
      <c r="I324" s="11">
        <v>9200</v>
      </c>
      <c r="J324" s="11">
        <v>5060</v>
      </c>
      <c r="K324" s="11">
        <v>4140</v>
      </c>
      <c r="L324" t="s">
        <v>82</v>
      </c>
      <c r="M324" t="s">
        <v>116</v>
      </c>
      <c r="N324" t="s">
        <v>124</v>
      </c>
    </row>
    <row r="325" spans="1:14">
      <c r="A325" s="20">
        <v>45351</v>
      </c>
      <c r="B325" t="s">
        <v>104</v>
      </c>
      <c r="C325" t="s">
        <v>93</v>
      </c>
      <c r="D325" t="s">
        <v>111</v>
      </c>
      <c r="E325">
        <v>34</v>
      </c>
      <c r="F325">
        <v>63</v>
      </c>
      <c r="G325">
        <v>100</v>
      </c>
      <c r="H325">
        <v>55</v>
      </c>
      <c r="I325" s="11">
        <v>6300</v>
      </c>
      <c r="J325" s="11">
        <v>3465</v>
      </c>
      <c r="K325" s="11">
        <v>2835</v>
      </c>
      <c r="L325" t="s">
        <v>79</v>
      </c>
      <c r="M325" t="s">
        <v>115</v>
      </c>
      <c r="N325" t="s">
        <v>124</v>
      </c>
    </row>
    <row r="326" spans="1:14">
      <c r="A326" s="20">
        <v>45421</v>
      </c>
      <c r="B326" t="s">
        <v>105</v>
      </c>
      <c r="C326" t="s">
        <v>93</v>
      </c>
      <c r="D326" t="s">
        <v>111</v>
      </c>
      <c r="E326">
        <v>40</v>
      </c>
      <c r="F326">
        <v>132</v>
      </c>
      <c r="G326">
        <v>100</v>
      </c>
      <c r="H326">
        <v>55</v>
      </c>
      <c r="I326" s="11">
        <v>13200</v>
      </c>
      <c r="J326" s="11">
        <v>7260</v>
      </c>
      <c r="K326" s="11">
        <v>5940</v>
      </c>
      <c r="L326" t="s">
        <v>82</v>
      </c>
      <c r="M326" t="s">
        <v>116</v>
      </c>
      <c r="N326" t="s">
        <v>125</v>
      </c>
    </row>
    <row r="327" spans="1:14">
      <c r="A327" s="20">
        <v>45390</v>
      </c>
      <c r="B327" t="s">
        <v>105</v>
      </c>
      <c r="C327" t="s">
        <v>94</v>
      </c>
      <c r="D327" t="s">
        <v>110</v>
      </c>
      <c r="E327">
        <v>32</v>
      </c>
      <c r="F327">
        <v>56</v>
      </c>
      <c r="G327">
        <v>80</v>
      </c>
      <c r="H327">
        <v>45</v>
      </c>
      <c r="I327" s="11">
        <v>4480</v>
      </c>
      <c r="J327" s="11">
        <v>2520</v>
      </c>
      <c r="K327" s="11">
        <v>1960</v>
      </c>
      <c r="L327" t="s">
        <v>81</v>
      </c>
      <c r="M327" t="s">
        <v>116</v>
      </c>
      <c r="N327" t="s">
        <v>124</v>
      </c>
    </row>
    <row r="328" spans="1:14">
      <c r="A328" s="20">
        <v>45551</v>
      </c>
      <c r="B328" t="s">
        <v>103</v>
      </c>
      <c r="C328" t="s">
        <v>96</v>
      </c>
      <c r="D328" t="s">
        <v>110</v>
      </c>
      <c r="E328">
        <v>29</v>
      </c>
      <c r="F328">
        <v>81</v>
      </c>
      <c r="G328">
        <v>90</v>
      </c>
      <c r="H328">
        <v>50</v>
      </c>
      <c r="I328" s="11">
        <v>7290</v>
      </c>
      <c r="J328" s="11">
        <v>4050</v>
      </c>
      <c r="K328" s="11">
        <v>3240</v>
      </c>
      <c r="L328" t="s">
        <v>86</v>
      </c>
      <c r="M328" t="s">
        <v>117</v>
      </c>
      <c r="N328" t="s">
        <v>123</v>
      </c>
    </row>
    <row r="329" spans="1:14">
      <c r="A329" s="20">
        <v>45415</v>
      </c>
      <c r="B329" t="s">
        <v>105</v>
      </c>
      <c r="C329" t="s">
        <v>98</v>
      </c>
      <c r="D329" t="s">
        <v>111</v>
      </c>
      <c r="E329">
        <v>34</v>
      </c>
      <c r="F329">
        <v>111</v>
      </c>
      <c r="G329">
        <v>100</v>
      </c>
      <c r="H329">
        <v>55</v>
      </c>
      <c r="I329" s="11">
        <v>11100</v>
      </c>
      <c r="J329" s="11">
        <v>6105</v>
      </c>
      <c r="K329" s="11">
        <v>4995</v>
      </c>
      <c r="L329" t="s">
        <v>82</v>
      </c>
      <c r="M329" t="s">
        <v>116</v>
      </c>
      <c r="N329" t="s">
        <v>124</v>
      </c>
    </row>
    <row r="330" spans="1:14">
      <c r="A330" s="20">
        <v>45298</v>
      </c>
      <c r="B330" t="s">
        <v>104</v>
      </c>
      <c r="C330" t="s">
        <v>96</v>
      </c>
      <c r="D330" t="s">
        <v>110</v>
      </c>
      <c r="E330">
        <v>22</v>
      </c>
      <c r="F330">
        <v>31</v>
      </c>
      <c r="G330">
        <v>90</v>
      </c>
      <c r="H330">
        <v>50</v>
      </c>
      <c r="I330" s="11">
        <v>2790</v>
      </c>
      <c r="J330" s="11">
        <v>1550</v>
      </c>
      <c r="K330" s="11">
        <v>1240</v>
      </c>
      <c r="L330" t="s">
        <v>78</v>
      </c>
      <c r="M330" t="s">
        <v>115</v>
      </c>
      <c r="N330" t="s">
        <v>122</v>
      </c>
    </row>
    <row r="331" spans="1:14">
      <c r="A331" s="20">
        <v>45474</v>
      </c>
      <c r="B331" t="s">
        <v>104</v>
      </c>
      <c r="C331" t="s">
        <v>93</v>
      </c>
      <c r="D331" t="s">
        <v>110</v>
      </c>
      <c r="E331">
        <v>30</v>
      </c>
      <c r="F331">
        <v>108</v>
      </c>
      <c r="G331">
        <v>100</v>
      </c>
      <c r="H331">
        <v>55</v>
      </c>
      <c r="I331" s="11">
        <v>10800</v>
      </c>
      <c r="J331" s="11">
        <v>5940</v>
      </c>
      <c r="K331" s="11">
        <v>4860</v>
      </c>
      <c r="L331" t="s">
        <v>84</v>
      </c>
      <c r="M331" t="s">
        <v>117</v>
      </c>
      <c r="N331" t="s">
        <v>123</v>
      </c>
    </row>
    <row r="332" spans="1:14">
      <c r="A332" s="20">
        <v>45429</v>
      </c>
      <c r="B332" t="s">
        <v>103</v>
      </c>
      <c r="C332" t="s">
        <v>95</v>
      </c>
      <c r="D332" t="s">
        <v>111</v>
      </c>
      <c r="E332">
        <v>36</v>
      </c>
      <c r="F332">
        <v>62</v>
      </c>
      <c r="G332">
        <v>110</v>
      </c>
      <c r="H332">
        <v>60</v>
      </c>
      <c r="I332" s="11">
        <v>6820</v>
      </c>
      <c r="J332" s="11">
        <v>3720</v>
      </c>
      <c r="K332" s="11">
        <v>3100</v>
      </c>
      <c r="L332" t="s">
        <v>82</v>
      </c>
      <c r="M332" t="s">
        <v>116</v>
      </c>
      <c r="N332" t="s">
        <v>125</v>
      </c>
    </row>
    <row r="333" spans="1:14">
      <c r="A333" s="20">
        <v>45533</v>
      </c>
      <c r="B333" t="s">
        <v>103</v>
      </c>
      <c r="C333" t="s">
        <v>96</v>
      </c>
      <c r="D333" t="s">
        <v>110</v>
      </c>
      <c r="E333">
        <v>29</v>
      </c>
      <c r="F333">
        <v>61</v>
      </c>
      <c r="G333">
        <v>90</v>
      </c>
      <c r="H333">
        <v>50</v>
      </c>
      <c r="I333" s="11">
        <v>5490</v>
      </c>
      <c r="J333" s="11">
        <v>3050</v>
      </c>
      <c r="K333" s="11">
        <v>2440</v>
      </c>
      <c r="L333" t="s">
        <v>85</v>
      </c>
      <c r="M333" t="s">
        <v>117</v>
      </c>
      <c r="N333" t="s">
        <v>123</v>
      </c>
    </row>
    <row r="334" spans="1:14">
      <c r="A334" s="20">
        <v>45479</v>
      </c>
      <c r="B334" t="s">
        <v>104</v>
      </c>
      <c r="C334" t="s">
        <v>96</v>
      </c>
      <c r="D334" t="s">
        <v>110</v>
      </c>
      <c r="E334">
        <v>29</v>
      </c>
      <c r="F334">
        <v>55</v>
      </c>
      <c r="G334">
        <v>90</v>
      </c>
      <c r="H334">
        <v>50</v>
      </c>
      <c r="I334" s="11">
        <v>4950</v>
      </c>
      <c r="J334" s="11">
        <v>2750</v>
      </c>
      <c r="K334" s="11">
        <v>2200</v>
      </c>
      <c r="L334" t="s">
        <v>84</v>
      </c>
      <c r="M334" t="s">
        <v>117</v>
      </c>
      <c r="N334" t="s">
        <v>123</v>
      </c>
    </row>
    <row r="335" spans="1:14">
      <c r="A335" s="20">
        <v>45325</v>
      </c>
      <c r="B335" t="s">
        <v>105</v>
      </c>
      <c r="C335" t="s">
        <v>93</v>
      </c>
      <c r="D335" t="s">
        <v>110</v>
      </c>
      <c r="E335">
        <v>31</v>
      </c>
      <c r="F335">
        <v>81</v>
      </c>
      <c r="G335">
        <v>100</v>
      </c>
      <c r="H335">
        <v>55</v>
      </c>
      <c r="I335" s="11">
        <v>8100</v>
      </c>
      <c r="J335" s="11">
        <v>4455</v>
      </c>
      <c r="K335" s="11">
        <v>3645</v>
      </c>
      <c r="L335" t="s">
        <v>79</v>
      </c>
      <c r="M335" t="s">
        <v>115</v>
      </c>
      <c r="N335" t="s">
        <v>124</v>
      </c>
    </row>
    <row r="336" spans="1:14">
      <c r="A336" s="20">
        <v>45333</v>
      </c>
      <c r="B336" t="s">
        <v>106</v>
      </c>
      <c r="C336" t="s">
        <v>95</v>
      </c>
      <c r="D336" t="s">
        <v>112</v>
      </c>
      <c r="E336">
        <v>33</v>
      </c>
      <c r="F336">
        <v>46</v>
      </c>
      <c r="G336">
        <v>110</v>
      </c>
      <c r="H336">
        <v>60</v>
      </c>
      <c r="I336" s="11">
        <v>5060</v>
      </c>
      <c r="J336" s="11">
        <v>2760</v>
      </c>
      <c r="K336" s="11">
        <v>2300</v>
      </c>
      <c r="L336" t="s">
        <v>79</v>
      </c>
      <c r="M336" t="s">
        <v>115</v>
      </c>
      <c r="N336" t="s">
        <v>124</v>
      </c>
    </row>
    <row r="337" spans="1:14">
      <c r="A337" s="20">
        <v>45420</v>
      </c>
      <c r="B337" t="s">
        <v>103</v>
      </c>
      <c r="C337" t="s">
        <v>98</v>
      </c>
      <c r="D337" t="s">
        <v>110</v>
      </c>
      <c r="E337">
        <v>39</v>
      </c>
      <c r="F337">
        <v>107</v>
      </c>
      <c r="G337">
        <v>100</v>
      </c>
      <c r="H337">
        <v>55</v>
      </c>
      <c r="I337" s="11">
        <v>10700</v>
      </c>
      <c r="J337" s="11">
        <v>5885</v>
      </c>
      <c r="K337" s="11">
        <v>4815</v>
      </c>
      <c r="L337" t="s">
        <v>82</v>
      </c>
      <c r="M337" t="s">
        <v>116</v>
      </c>
      <c r="N337" t="s">
        <v>125</v>
      </c>
    </row>
    <row r="338" spans="1:14">
      <c r="A338" s="20">
        <v>45568</v>
      </c>
      <c r="B338" t="s">
        <v>104</v>
      </c>
      <c r="C338" t="s">
        <v>98</v>
      </c>
      <c r="D338" t="s">
        <v>110</v>
      </c>
      <c r="E338">
        <v>26</v>
      </c>
      <c r="F338">
        <v>101</v>
      </c>
      <c r="G338">
        <v>100</v>
      </c>
      <c r="H338">
        <v>55</v>
      </c>
      <c r="I338" s="11">
        <v>10100</v>
      </c>
      <c r="J338" s="11">
        <v>5555</v>
      </c>
      <c r="K338" s="11">
        <v>4545</v>
      </c>
      <c r="L338" t="s">
        <v>87</v>
      </c>
      <c r="M338" t="s">
        <v>118</v>
      </c>
      <c r="N338" t="s">
        <v>123</v>
      </c>
    </row>
    <row r="339" spans="1:14">
      <c r="A339" s="20">
        <v>45370</v>
      </c>
      <c r="B339" t="s">
        <v>104</v>
      </c>
      <c r="C339" t="s">
        <v>98</v>
      </c>
      <c r="D339" t="s">
        <v>112</v>
      </c>
      <c r="E339">
        <v>32</v>
      </c>
      <c r="F339">
        <v>118</v>
      </c>
      <c r="G339">
        <v>100</v>
      </c>
      <c r="H339">
        <v>55</v>
      </c>
      <c r="I339" s="11">
        <v>11800</v>
      </c>
      <c r="J339" s="11">
        <v>6490</v>
      </c>
      <c r="K339" s="11">
        <v>5310</v>
      </c>
      <c r="L339" t="s">
        <v>80</v>
      </c>
      <c r="M339" t="s">
        <v>115</v>
      </c>
      <c r="N339" t="s">
        <v>124</v>
      </c>
    </row>
    <row r="340" spans="1:14">
      <c r="A340" s="20">
        <v>45378</v>
      </c>
      <c r="B340" t="s">
        <v>103</v>
      </c>
      <c r="C340" t="s">
        <v>95</v>
      </c>
      <c r="D340" t="s">
        <v>110</v>
      </c>
      <c r="E340">
        <v>32</v>
      </c>
      <c r="F340">
        <v>92</v>
      </c>
      <c r="G340">
        <v>110</v>
      </c>
      <c r="H340">
        <v>60</v>
      </c>
      <c r="I340" s="11">
        <v>10120</v>
      </c>
      <c r="J340" s="11">
        <v>5520</v>
      </c>
      <c r="K340" s="11">
        <v>4600</v>
      </c>
      <c r="L340" t="s">
        <v>80</v>
      </c>
      <c r="M340" t="s">
        <v>115</v>
      </c>
      <c r="N340" t="s">
        <v>124</v>
      </c>
    </row>
    <row r="341" spans="1:14">
      <c r="A341" s="20">
        <v>45400</v>
      </c>
      <c r="B341" t="s">
        <v>103</v>
      </c>
      <c r="C341" t="s">
        <v>98</v>
      </c>
      <c r="D341" t="s">
        <v>110</v>
      </c>
      <c r="E341">
        <v>36</v>
      </c>
      <c r="F341">
        <v>197</v>
      </c>
      <c r="G341">
        <v>100</v>
      </c>
      <c r="H341">
        <v>55</v>
      </c>
      <c r="I341" s="11">
        <v>19700</v>
      </c>
      <c r="J341" s="11">
        <v>10835</v>
      </c>
      <c r="K341" s="11">
        <v>8865</v>
      </c>
      <c r="L341" t="s">
        <v>81</v>
      </c>
      <c r="M341" t="s">
        <v>116</v>
      </c>
      <c r="N341" t="s">
        <v>125</v>
      </c>
    </row>
    <row r="342" spans="1:14">
      <c r="A342" s="20">
        <v>45523</v>
      </c>
      <c r="B342" t="s">
        <v>103</v>
      </c>
      <c r="C342" t="s">
        <v>93</v>
      </c>
      <c r="D342" t="s">
        <v>110</v>
      </c>
      <c r="E342">
        <v>28</v>
      </c>
      <c r="F342">
        <v>44</v>
      </c>
      <c r="G342">
        <v>100</v>
      </c>
      <c r="H342">
        <v>55</v>
      </c>
      <c r="I342" s="11">
        <v>4400</v>
      </c>
      <c r="J342" s="11">
        <v>2420</v>
      </c>
      <c r="K342" s="11">
        <v>1980</v>
      </c>
      <c r="L342" t="s">
        <v>85</v>
      </c>
      <c r="M342" t="s">
        <v>117</v>
      </c>
      <c r="N342" t="s">
        <v>123</v>
      </c>
    </row>
    <row r="343" spans="1:14">
      <c r="A343" s="20">
        <v>45319</v>
      </c>
      <c r="B343" t="s">
        <v>104</v>
      </c>
      <c r="C343" t="s">
        <v>93</v>
      </c>
      <c r="D343" t="s">
        <v>111</v>
      </c>
      <c r="E343">
        <v>25</v>
      </c>
      <c r="F343">
        <v>41</v>
      </c>
      <c r="G343">
        <v>100</v>
      </c>
      <c r="H343">
        <v>55</v>
      </c>
      <c r="I343" s="11">
        <v>4100</v>
      </c>
      <c r="J343" s="11">
        <v>2255</v>
      </c>
      <c r="K343" s="11">
        <v>1845</v>
      </c>
      <c r="L343" t="s">
        <v>78</v>
      </c>
      <c r="M343" t="s">
        <v>115</v>
      </c>
      <c r="N343" t="s">
        <v>123</v>
      </c>
    </row>
    <row r="344" spans="1:14">
      <c r="A344" s="20">
        <v>45611</v>
      </c>
      <c r="B344" t="s">
        <v>103</v>
      </c>
      <c r="C344" t="s">
        <v>93</v>
      </c>
      <c r="D344" t="s">
        <v>111</v>
      </c>
      <c r="E344">
        <v>25</v>
      </c>
      <c r="F344">
        <v>26</v>
      </c>
      <c r="G344">
        <v>100</v>
      </c>
      <c r="H344">
        <v>55</v>
      </c>
      <c r="I344" s="11">
        <v>2600</v>
      </c>
      <c r="J344" s="11">
        <v>1430</v>
      </c>
      <c r="K344" s="11">
        <v>1170</v>
      </c>
      <c r="L344" t="s">
        <v>88</v>
      </c>
      <c r="M344" t="s">
        <v>118</v>
      </c>
      <c r="N344" t="s">
        <v>123</v>
      </c>
    </row>
    <row r="345" spans="1:14">
      <c r="A345" s="20">
        <v>45547</v>
      </c>
      <c r="B345" t="s">
        <v>106</v>
      </c>
      <c r="C345" t="s">
        <v>94</v>
      </c>
      <c r="D345" t="s">
        <v>111</v>
      </c>
      <c r="E345">
        <v>26</v>
      </c>
      <c r="F345">
        <v>96</v>
      </c>
      <c r="G345">
        <v>80</v>
      </c>
      <c r="H345">
        <v>45</v>
      </c>
      <c r="I345" s="11">
        <v>7680</v>
      </c>
      <c r="J345" s="11">
        <v>4320</v>
      </c>
      <c r="K345" s="11">
        <v>3360</v>
      </c>
      <c r="L345" t="s">
        <v>86</v>
      </c>
      <c r="M345" t="s">
        <v>117</v>
      </c>
      <c r="N345" t="s">
        <v>123</v>
      </c>
    </row>
    <row r="346" spans="1:14">
      <c r="A346" s="20">
        <v>45583</v>
      </c>
      <c r="B346" t="s">
        <v>105</v>
      </c>
      <c r="C346" t="s">
        <v>96</v>
      </c>
      <c r="D346" t="s">
        <v>111</v>
      </c>
      <c r="E346">
        <v>27</v>
      </c>
      <c r="F346">
        <v>91</v>
      </c>
      <c r="G346">
        <v>90</v>
      </c>
      <c r="H346">
        <v>50</v>
      </c>
      <c r="I346" s="11">
        <v>8190</v>
      </c>
      <c r="J346" s="11">
        <v>4550</v>
      </c>
      <c r="K346" s="11">
        <v>3640</v>
      </c>
      <c r="L346" t="s">
        <v>87</v>
      </c>
      <c r="M346" t="s">
        <v>118</v>
      </c>
      <c r="N346" t="s">
        <v>123</v>
      </c>
    </row>
    <row r="347" spans="1:14">
      <c r="A347" s="20">
        <v>45557</v>
      </c>
      <c r="B347" t="s">
        <v>103</v>
      </c>
      <c r="C347" t="s">
        <v>95</v>
      </c>
      <c r="D347" t="s">
        <v>112</v>
      </c>
      <c r="E347">
        <v>30</v>
      </c>
      <c r="F347">
        <v>42</v>
      </c>
      <c r="G347">
        <v>110</v>
      </c>
      <c r="H347">
        <v>60</v>
      </c>
      <c r="I347" s="11">
        <v>4620</v>
      </c>
      <c r="J347" s="11">
        <v>2520</v>
      </c>
      <c r="K347" s="11">
        <v>2100</v>
      </c>
      <c r="L347" t="s">
        <v>86</v>
      </c>
      <c r="M347" t="s">
        <v>117</v>
      </c>
      <c r="N347" t="s">
        <v>123</v>
      </c>
    </row>
    <row r="348" spans="1:14">
      <c r="A348" s="20">
        <v>45451</v>
      </c>
      <c r="B348" t="s">
        <v>106</v>
      </c>
      <c r="C348" t="s">
        <v>95</v>
      </c>
      <c r="D348" t="s">
        <v>111</v>
      </c>
      <c r="E348">
        <v>41</v>
      </c>
      <c r="F348">
        <v>60</v>
      </c>
      <c r="G348">
        <v>110</v>
      </c>
      <c r="H348">
        <v>60</v>
      </c>
      <c r="I348" s="11">
        <v>6600</v>
      </c>
      <c r="J348" s="11">
        <v>3600</v>
      </c>
      <c r="K348" s="11">
        <v>3000</v>
      </c>
      <c r="L348" t="s">
        <v>83</v>
      </c>
      <c r="M348" t="s">
        <v>116</v>
      </c>
      <c r="N348" t="s">
        <v>125</v>
      </c>
    </row>
    <row r="349" spans="1:14">
      <c r="A349" s="20">
        <v>45562</v>
      </c>
      <c r="B349" t="s">
        <v>104</v>
      </c>
      <c r="C349" t="s">
        <v>94</v>
      </c>
      <c r="D349" t="s">
        <v>110</v>
      </c>
      <c r="E349">
        <v>34</v>
      </c>
      <c r="F349">
        <v>88</v>
      </c>
      <c r="G349">
        <v>80</v>
      </c>
      <c r="H349">
        <v>45</v>
      </c>
      <c r="I349" s="11">
        <v>7040</v>
      </c>
      <c r="J349" s="11">
        <v>3960</v>
      </c>
      <c r="K349" s="11">
        <v>3080</v>
      </c>
      <c r="L349" t="s">
        <v>86</v>
      </c>
      <c r="M349" t="s">
        <v>117</v>
      </c>
      <c r="N349" t="s">
        <v>124</v>
      </c>
    </row>
    <row r="350" spans="1:14">
      <c r="A350" s="20">
        <v>45405</v>
      </c>
      <c r="B350" t="s">
        <v>103</v>
      </c>
      <c r="C350" t="s">
        <v>97</v>
      </c>
      <c r="D350" t="s">
        <v>110</v>
      </c>
      <c r="E350">
        <v>34</v>
      </c>
      <c r="F350">
        <v>81</v>
      </c>
      <c r="G350">
        <v>130</v>
      </c>
      <c r="H350">
        <v>70</v>
      </c>
      <c r="I350" s="11">
        <v>10530</v>
      </c>
      <c r="J350" s="11">
        <v>5670</v>
      </c>
      <c r="K350" s="11">
        <v>4860</v>
      </c>
      <c r="L350" t="s">
        <v>81</v>
      </c>
      <c r="M350" t="s">
        <v>116</v>
      </c>
      <c r="N350" t="s">
        <v>124</v>
      </c>
    </row>
    <row r="351" spans="1:14">
      <c r="A351" s="20">
        <v>45465</v>
      </c>
      <c r="B351" t="s">
        <v>106</v>
      </c>
      <c r="C351" t="s">
        <v>94</v>
      </c>
      <c r="D351" t="s">
        <v>111</v>
      </c>
      <c r="E351">
        <v>38</v>
      </c>
      <c r="F351">
        <v>168</v>
      </c>
      <c r="G351">
        <v>80</v>
      </c>
      <c r="H351">
        <v>45</v>
      </c>
      <c r="I351" s="11">
        <v>13440</v>
      </c>
      <c r="J351" s="11">
        <v>7560</v>
      </c>
      <c r="K351" s="11">
        <v>5880</v>
      </c>
      <c r="L351" t="s">
        <v>83</v>
      </c>
      <c r="M351" t="s">
        <v>116</v>
      </c>
      <c r="N351" t="s">
        <v>125</v>
      </c>
    </row>
    <row r="352" spans="1:14">
      <c r="A352" s="20">
        <v>45559</v>
      </c>
      <c r="B352" t="s">
        <v>103</v>
      </c>
      <c r="C352" t="s">
        <v>97</v>
      </c>
      <c r="D352" t="s">
        <v>111</v>
      </c>
      <c r="E352">
        <v>33</v>
      </c>
      <c r="F352">
        <v>50</v>
      </c>
      <c r="G352">
        <v>130</v>
      </c>
      <c r="H352">
        <v>70</v>
      </c>
      <c r="I352" s="11">
        <v>6500</v>
      </c>
      <c r="J352" s="11">
        <v>3500</v>
      </c>
      <c r="K352" s="11">
        <v>3000</v>
      </c>
      <c r="L352" t="s">
        <v>86</v>
      </c>
      <c r="M352" t="s">
        <v>117</v>
      </c>
      <c r="N352" t="s">
        <v>124</v>
      </c>
    </row>
    <row r="353" spans="1:14">
      <c r="A353" s="20">
        <v>45593</v>
      </c>
      <c r="B353" t="s">
        <v>105</v>
      </c>
      <c r="C353" t="s">
        <v>95</v>
      </c>
      <c r="D353" t="s">
        <v>111</v>
      </c>
      <c r="E353">
        <v>31</v>
      </c>
      <c r="F353">
        <v>104</v>
      </c>
      <c r="G353">
        <v>110</v>
      </c>
      <c r="H353">
        <v>60</v>
      </c>
      <c r="I353" s="11">
        <v>11440</v>
      </c>
      <c r="J353" s="11">
        <v>6240</v>
      </c>
      <c r="K353" s="11">
        <v>5200</v>
      </c>
      <c r="L353" t="s">
        <v>87</v>
      </c>
      <c r="M353" t="s">
        <v>118</v>
      </c>
      <c r="N353" t="s">
        <v>124</v>
      </c>
    </row>
    <row r="354" spans="1:14">
      <c r="A354" s="20">
        <v>45441</v>
      </c>
      <c r="B354" t="s">
        <v>106</v>
      </c>
      <c r="C354" t="s">
        <v>97</v>
      </c>
      <c r="D354" t="s">
        <v>110</v>
      </c>
      <c r="E354">
        <v>36</v>
      </c>
      <c r="F354">
        <v>51</v>
      </c>
      <c r="G354">
        <v>130</v>
      </c>
      <c r="H354">
        <v>70</v>
      </c>
      <c r="I354" s="11">
        <v>6630</v>
      </c>
      <c r="J354" s="11">
        <v>3570</v>
      </c>
      <c r="K354" s="11">
        <v>3060</v>
      </c>
      <c r="L354" t="s">
        <v>82</v>
      </c>
      <c r="M354" t="s">
        <v>116</v>
      </c>
      <c r="N354" t="s">
        <v>125</v>
      </c>
    </row>
    <row r="355" spans="1:14">
      <c r="A355" s="20">
        <v>45574</v>
      </c>
      <c r="B355" t="s">
        <v>104</v>
      </c>
      <c r="C355" t="s">
        <v>97</v>
      </c>
      <c r="D355" t="s">
        <v>110</v>
      </c>
      <c r="E355">
        <v>31</v>
      </c>
      <c r="F355">
        <v>73</v>
      </c>
      <c r="G355">
        <v>130</v>
      </c>
      <c r="H355">
        <v>70</v>
      </c>
      <c r="I355" s="11">
        <v>9490</v>
      </c>
      <c r="J355" s="11">
        <v>5110</v>
      </c>
      <c r="K355" s="11">
        <v>4380</v>
      </c>
      <c r="L355" t="s">
        <v>87</v>
      </c>
      <c r="M355" t="s">
        <v>118</v>
      </c>
      <c r="N355" t="s">
        <v>124</v>
      </c>
    </row>
    <row r="356" spans="1:14">
      <c r="A356" s="20">
        <v>45462</v>
      </c>
      <c r="B356" t="s">
        <v>105</v>
      </c>
      <c r="C356" t="s">
        <v>95</v>
      </c>
      <c r="D356" t="s">
        <v>111</v>
      </c>
      <c r="E356">
        <v>34</v>
      </c>
      <c r="F356">
        <v>167</v>
      </c>
      <c r="G356">
        <v>110</v>
      </c>
      <c r="H356">
        <v>60</v>
      </c>
      <c r="I356" s="11">
        <v>18370</v>
      </c>
      <c r="J356" s="11">
        <v>10020</v>
      </c>
      <c r="K356" s="11">
        <v>8350</v>
      </c>
      <c r="L356" t="s">
        <v>83</v>
      </c>
      <c r="M356" t="s">
        <v>116</v>
      </c>
      <c r="N356" t="s">
        <v>124</v>
      </c>
    </row>
    <row r="357" spans="1:14">
      <c r="A357" s="20">
        <v>45314</v>
      </c>
      <c r="B357" t="s">
        <v>106</v>
      </c>
      <c r="C357" t="s">
        <v>95</v>
      </c>
      <c r="D357" t="s">
        <v>111</v>
      </c>
      <c r="E357">
        <v>25</v>
      </c>
      <c r="F357">
        <v>46</v>
      </c>
      <c r="G357">
        <v>110</v>
      </c>
      <c r="H357">
        <v>60</v>
      </c>
      <c r="I357" s="11">
        <v>5060</v>
      </c>
      <c r="J357" s="11">
        <v>2760</v>
      </c>
      <c r="K357" s="11">
        <v>2300</v>
      </c>
      <c r="L357" t="s">
        <v>78</v>
      </c>
      <c r="M357" t="s">
        <v>115</v>
      </c>
      <c r="N357" t="s">
        <v>123</v>
      </c>
    </row>
    <row r="358" spans="1:14">
      <c r="A358" s="20">
        <v>45653</v>
      </c>
      <c r="B358" t="s">
        <v>106</v>
      </c>
      <c r="C358" t="s">
        <v>96</v>
      </c>
      <c r="D358" t="s">
        <v>111</v>
      </c>
      <c r="E358">
        <v>18</v>
      </c>
      <c r="F358">
        <v>12</v>
      </c>
      <c r="G358">
        <v>90</v>
      </c>
      <c r="H358">
        <v>50</v>
      </c>
      <c r="I358" s="11">
        <v>1080</v>
      </c>
      <c r="J358" s="11">
        <v>600</v>
      </c>
      <c r="K358" s="11">
        <v>480</v>
      </c>
      <c r="L358" t="s">
        <v>89</v>
      </c>
      <c r="M358" t="s">
        <v>118</v>
      </c>
      <c r="N358" t="s">
        <v>122</v>
      </c>
    </row>
    <row r="359" spans="1:14">
      <c r="A359" s="20">
        <v>45395</v>
      </c>
      <c r="B359" t="s">
        <v>106</v>
      </c>
      <c r="C359" t="s">
        <v>94</v>
      </c>
      <c r="D359" t="s">
        <v>111</v>
      </c>
      <c r="E359">
        <v>36</v>
      </c>
      <c r="F359">
        <v>59</v>
      </c>
      <c r="G359">
        <v>80</v>
      </c>
      <c r="H359">
        <v>45</v>
      </c>
      <c r="I359" s="11">
        <v>4720</v>
      </c>
      <c r="J359" s="11">
        <v>2655</v>
      </c>
      <c r="K359" s="11">
        <v>2065</v>
      </c>
      <c r="L359" t="s">
        <v>81</v>
      </c>
      <c r="M359" t="s">
        <v>116</v>
      </c>
      <c r="N359" t="s">
        <v>125</v>
      </c>
    </row>
    <row r="360" spans="1:14">
      <c r="A360" s="20">
        <v>45593</v>
      </c>
      <c r="B360" t="s">
        <v>103</v>
      </c>
      <c r="C360" t="s">
        <v>96</v>
      </c>
      <c r="D360" t="s">
        <v>110</v>
      </c>
      <c r="E360">
        <v>34</v>
      </c>
      <c r="F360">
        <v>42</v>
      </c>
      <c r="G360">
        <v>90</v>
      </c>
      <c r="H360">
        <v>50</v>
      </c>
      <c r="I360" s="11">
        <v>3780</v>
      </c>
      <c r="J360" s="11">
        <v>2100</v>
      </c>
      <c r="K360" s="11">
        <v>1680</v>
      </c>
      <c r="L360" t="s">
        <v>87</v>
      </c>
      <c r="M360" t="s">
        <v>118</v>
      </c>
      <c r="N360" t="s">
        <v>124</v>
      </c>
    </row>
    <row r="361" spans="1:14">
      <c r="A361" s="20">
        <v>45377</v>
      </c>
      <c r="B361" t="s">
        <v>106</v>
      </c>
      <c r="C361" t="s">
        <v>98</v>
      </c>
      <c r="D361" t="s">
        <v>111</v>
      </c>
      <c r="E361">
        <v>40</v>
      </c>
      <c r="F361">
        <v>63</v>
      </c>
      <c r="G361">
        <v>100</v>
      </c>
      <c r="H361">
        <v>55</v>
      </c>
      <c r="I361" s="11">
        <v>6300</v>
      </c>
      <c r="J361" s="11">
        <v>3465</v>
      </c>
      <c r="K361" s="11">
        <v>2835</v>
      </c>
      <c r="L361" t="s">
        <v>80</v>
      </c>
      <c r="M361" t="s">
        <v>115</v>
      </c>
      <c r="N361" t="s">
        <v>125</v>
      </c>
    </row>
    <row r="362" spans="1:14">
      <c r="A362" s="20">
        <v>45311</v>
      </c>
      <c r="B362" t="s">
        <v>103</v>
      </c>
      <c r="C362" t="s">
        <v>93</v>
      </c>
      <c r="D362" t="s">
        <v>110</v>
      </c>
      <c r="E362">
        <v>22</v>
      </c>
      <c r="F362">
        <v>28</v>
      </c>
      <c r="G362">
        <v>100</v>
      </c>
      <c r="H362">
        <v>55</v>
      </c>
      <c r="I362" s="11">
        <v>2800</v>
      </c>
      <c r="J362" s="11">
        <v>1540</v>
      </c>
      <c r="K362" s="11">
        <v>1260</v>
      </c>
      <c r="L362" t="s">
        <v>78</v>
      </c>
      <c r="M362" t="s">
        <v>115</v>
      </c>
      <c r="N362" t="s">
        <v>122</v>
      </c>
    </row>
    <row r="363" spans="1:14">
      <c r="A363" s="20">
        <v>45477</v>
      </c>
      <c r="B363" t="s">
        <v>104</v>
      </c>
      <c r="C363" t="s">
        <v>93</v>
      </c>
      <c r="D363" t="s">
        <v>111</v>
      </c>
      <c r="E363">
        <v>31</v>
      </c>
      <c r="F363">
        <v>53</v>
      </c>
      <c r="G363">
        <v>100</v>
      </c>
      <c r="H363">
        <v>55</v>
      </c>
      <c r="I363" s="11">
        <v>5300</v>
      </c>
      <c r="J363" s="11">
        <v>2915</v>
      </c>
      <c r="K363" s="11">
        <v>2385</v>
      </c>
      <c r="L363" t="s">
        <v>84</v>
      </c>
      <c r="M363" t="s">
        <v>117</v>
      </c>
      <c r="N363" t="s">
        <v>124</v>
      </c>
    </row>
    <row r="364" spans="1:14">
      <c r="A364" s="20">
        <v>45518</v>
      </c>
      <c r="B364" t="s">
        <v>105</v>
      </c>
      <c r="C364" t="s">
        <v>94</v>
      </c>
      <c r="D364" t="s">
        <v>110</v>
      </c>
      <c r="E364">
        <v>31</v>
      </c>
      <c r="F364">
        <v>50</v>
      </c>
      <c r="G364">
        <v>80</v>
      </c>
      <c r="H364">
        <v>45</v>
      </c>
      <c r="I364" s="11">
        <v>4000</v>
      </c>
      <c r="J364" s="11">
        <v>2250</v>
      </c>
      <c r="K364" s="11">
        <v>1750</v>
      </c>
      <c r="L364" t="s">
        <v>85</v>
      </c>
      <c r="M364" t="s">
        <v>117</v>
      </c>
      <c r="N364" t="s">
        <v>124</v>
      </c>
    </row>
    <row r="365" spans="1:14">
      <c r="A365" s="20">
        <v>45551</v>
      </c>
      <c r="B365" t="s">
        <v>104</v>
      </c>
      <c r="C365" t="s">
        <v>94</v>
      </c>
      <c r="D365" t="s">
        <v>110</v>
      </c>
      <c r="E365">
        <v>29</v>
      </c>
      <c r="F365">
        <v>100</v>
      </c>
      <c r="G365">
        <v>80</v>
      </c>
      <c r="H365">
        <v>45</v>
      </c>
      <c r="I365" s="11">
        <v>8000</v>
      </c>
      <c r="J365" s="11">
        <v>4500</v>
      </c>
      <c r="K365" s="11">
        <v>3500</v>
      </c>
      <c r="L365" t="s">
        <v>86</v>
      </c>
      <c r="M365" t="s">
        <v>117</v>
      </c>
      <c r="N365" t="s">
        <v>123</v>
      </c>
    </row>
    <row r="366" spans="1:14">
      <c r="A366" s="20">
        <v>45512</v>
      </c>
      <c r="B366" t="s">
        <v>103</v>
      </c>
      <c r="C366" t="s">
        <v>96</v>
      </c>
      <c r="D366" t="s">
        <v>111</v>
      </c>
      <c r="E366">
        <v>29</v>
      </c>
      <c r="F366">
        <v>84</v>
      </c>
      <c r="G366">
        <v>90</v>
      </c>
      <c r="H366">
        <v>50</v>
      </c>
      <c r="I366" s="11">
        <v>7560</v>
      </c>
      <c r="J366" s="11">
        <v>4200</v>
      </c>
      <c r="K366" s="11">
        <v>3360</v>
      </c>
      <c r="L366" t="s">
        <v>85</v>
      </c>
      <c r="M366" t="s">
        <v>117</v>
      </c>
      <c r="N366" t="s">
        <v>123</v>
      </c>
    </row>
    <row r="367" spans="1:14">
      <c r="A367" s="20">
        <v>45545</v>
      </c>
      <c r="B367" t="s">
        <v>104</v>
      </c>
      <c r="C367" t="s">
        <v>93</v>
      </c>
      <c r="D367" t="s">
        <v>111</v>
      </c>
      <c r="E367">
        <v>28</v>
      </c>
      <c r="F367">
        <v>89</v>
      </c>
      <c r="G367">
        <v>100</v>
      </c>
      <c r="H367">
        <v>55</v>
      </c>
      <c r="I367" s="11">
        <v>8900</v>
      </c>
      <c r="J367" s="11">
        <v>4895</v>
      </c>
      <c r="K367" s="11">
        <v>4005</v>
      </c>
      <c r="L367" t="s">
        <v>86</v>
      </c>
      <c r="M367" t="s">
        <v>117</v>
      </c>
      <c r="N367" t="s">
        <v>123</v>
      </c>
    </row>
    <row r="368" spans="1:14">
      <c r="A368" s="20">
        <v>45596</v>
      </c>
      <c r="B368" t="s">
        <v>103</v>
      </c>
      <c r="C368" t="s">
        <v>96</v>
      </c>
      <c r="D368" t="s">
        <v>111</v>
      </c>
      <c r="E368">
        <v>31</v>
      </c>
      <c r="F368">
        <v>105</v>
      </c>
      <c r="G368">
        <v>90</v>
      </c>
      <c r="H368">
        <v>50</v>
      </c>
      <c r="I368" s="11">
        <v>9450</v>
      </c>
      <c r="J368" s="11">
        <v>5250</v>
      </c>
      <c r="K368" s="11">
        <v>4200</v>
      </c>
      <c r="L368" t="s">
        <v>87</v>
      </c>
      <c r="M368" t="s">
        <v>118</v>
      </c>
      <c r="N368" t="s">
        <v>124</v>
      </c>
    </row>
    <row r="369" spans="1:14">
      <c r="A369" s="20">
        <v>45408</v>
      </c>
      <c r="B369" t="s">
        <v>104</v>
      </c>
      <c r="C369" t="s">
        <v>95</v>
      </c>
      <c r="D369" t="s">
        <v>110</v>
      </c>
      <c r="E369">
        <v>38</v>
      </c>
      <c r="F369">
        <v>143</v>
      </c>
      <c r="G369">
        <v>110</v>
      </c>
      <c r="H369">
        <v>60</v>
      </c>
      <c r="I369" s="11">
        <v>15730</v>
      </c>
      <c r="J369" s="11">
        <v>8580</v>
      </c>
      <c r="K369" s="11">
        <v>7150</v>
      </c>
      <c r="L369" t="s">
        <v>81</v>
      </c>
      <c r="M369" t="s">
        <v>116</v>
      </c>
      <c r="N369" t="s">
        <v>125</v>
      </c>
    </row>
    <row r="370" spans="1:14">
      <c r="A370" s="20">
        <v>45404</v>
      </c>
      <c r="B370" t="s">
        <v>103</v>
      </c>
      <c r="C370" t="s">
        <v>93</v>
      </c>
      <c r="D370" t="s">
        <v>110</v>
      </c>
      <c r="E370">
        <v>40</v>
      </c>
      <c r="F370">
        <v>96</v>
      </c>
      <c r="G370">
        <v>100</v>
      </c>
      <c r="H370">
        <v>55</v>
      </c>
      <c r="I370" s="11">
        <v>9600</v>
      </c>
      <c r="J370" s="11">
        <v>5280</v>
      </c>
      <c r="K370" s="11">
        <v>4320</v>
      </c>
      <c r="L370" t="s">
        <v>81</v>
      </c>
      <c r="M370" t="s">
        <v>116</v>
      </c>
      <c r="N370" t="s">
        <v>125</v>
      </c>
    </row>
    <row r="371" spans="1:14">
      <c r="A371" s="20">
        <v>45409</v>
      </c>
      <c r="B371" t="s">
        <v>104</v>
      </c>
      <c r="C371" t="s">
        <v>96</v>
      </c>
      <c r="D371" t="s">
        <v>111</v>
      </c>
      <c r="E371">
        <v>37</v>
      </c>
      <c r="F371">
        <v>96</v>
      </c>
      <c r="G371">
        <v>90</v>
      </c>
      <c r="H371">
        <v>50</v>
      </c>
      <c r="I371" s="11">
        <v>8640</v>
      </c>
      <c r="J371" s="11">
        <v>4800</v>
      </c>
      <c r="K371" s="11">
        <v>3840</v>
      </c>
      <c r="L371" t="s">
        <v>81</v>
      </c>
      <c r="M371" t="s">
        <v>116</v>
      </c>
      <c r="N371" t="s">
        <v>125</v>
      </c>
    </row>
    <row r="372" spans="1:14">
      <c r="A372" s="20">
        <v>45338</v>
      </c>
      <c r="B372" t="s">
        <v>104</v>
      </c>
      <c r="C372" t="s">
        <v>98</v>
      </c>
      <c r="D372" t="s">
        <v>111</v>
      </c>
      <c r="E372">
        <v>30</v>
      </c>
      <c r="F372">
        <v>45</v>
      </c>
      <c r="G372">
        <v>100</v>
      </c>
      <c r="H372">
        <v>55</v>
      </c>
      <c r="I372" s="11">
        <v>4500</v>
      </c>
      <c r="J372" s="11">
        <v>2475</v>
      </c>
      <c r="K372" s="11">
        <v>2025</v>
      </c>
      <c r="L372" t="s">
        <v>79</v>
      </c>
      <c r="M372" t="s">
        <v>115</v>
      </c>
      <c r="N372" t="s">
        <v>123</v>
      </c>
    </row>
    <row r="373" spans="1:14">
      <c r="A373" s="20">
        <v>45352</v>
      </c>
      <c r="B373" t="s">
        <v>103</v>
      </c>
      <c r="C373" t="s">
        <v>97</v>
      </c>
      <c r="D373" t="s">
        <v>111</v>
      </c>
      <c r="E373">
        <v>37</v>
      </c>
      <c r="F373">
        <v>143</v>
      </c>
      <c r="G373">
        <v>130</v>
      </c>
      <c r="H373">
        <v>70</v>
      </c>
      <c r="I373" s="11">
        <v>18590</v>
      </c>
      <c r="J373" s="11">
        <v>10010</v>
      </c>
      <c r="K373" s="11">
        <v>8580</v>
      </c>
      <c r="L373" t="s">
        <v>80</v>
      </c>
      <c r="M373" t="s">
        <v>115</v>
      </c>
      <c r="N373" t="s">
        <v>125</v>
      </c>
    </row>
    <row r="374" spans="1:14">
      <c r="A374" s="20">
        <v>45489</v>
      </c>
      <c r="B374" t="s">
        <v>103</v>
      </c>
      <c r="C374" t="s">
        <v>96</v>
      </c>
      <c r="D374" t="s">
        <v>112</v>
      </c>
      <c r="E374">
        <v>28</v>
      </c>
      <c r="F374">
        <v>71</v>
      </c>
      <c r="G374">
        <v>90</v>
      </c>
      <c r="H374">
        <v>50</v>
      </c>
      <c r="I374" s="11">
        <v>6390</v>
      </c>
      <c r="J374" s="11">
        <v>3550</v>
      </c>
      <c r="K374" s="11">
        <v>2840</v>
      </c>
      <c r="L374" t="s">
        <v>84</v>
      </c>
      <c r="M374" t="s">
        <v>117</v>
      </c>
      <c r="N374" t="s">
        <v>123</v>
      </c>
    </row>
    <row r="375" spans="1:14">
      <c r="A375" s="20">
        <v>45593</v>
      </c>
      <c r="B375" t="s">
        <v>104</v>
      </c>
      <c r="C375" t="s">
        <v>94</v>
      </c>
      <c r="D375" t="s">
        <v>110</v>
      </c>
      <c r="E375">
        <v>30</v>
      </c>
      <c r="F375">
        <v>78</v>
      </c>
      <c r="G375">
        <v>80</v>
      </c>
      <c r="H375">
        <v>45</v>
      </c>
      <c r="I375" s="11">
        <v>6240</v>
      </c>
      <c r="J375" s="11">
        <v>3510</v>
      </c>
      <c r="K375" s="11">
        <v>2730</v>
      </c>
      <c r="L375" t="s">
        <v>87</v>
      </c>
      <c r="M375" t="s">
        <v>118</v>
      </c>
      <c r="N375" t="s">
        <v>123</v>
      </c>
    </row>
    <row r="376" spans="1:14">
      <c r="A376" s="20">
        <v>45365</v>
      </c>
      <c r="B376" t="s">
        <v>105</v>
      </c>
      <c r="C376" t="s">
        <v>97</v>
      </c>
      <c r="D376" t="s">
        <v>111</v>
      </c>
      <c r="E376">
        <v>38</v>
      </c>
      <c r="F376">
        <v>175</v>
      </c>
      <c r="G376">
        <v>130</v>
      </c>
      <c r="H376">
        <v>70</v>
      </c>
      <c r="I376" s="11">
        <v>22750</v>
      </c>
      <c r="J376" s="11">
        <v>12250</v>
      </c>
      <c r="K376" s="11">
        <v>10500</v>
      </c>
      <c r="L376" t="s">
        <v>80</v>
      </c>
      <c r="M376" t="s">
        <v>115</v>
      </c>
      <c r="N376" t="s">
        <v>125</v>
      </c>
    </row>
    <row r="377" spans="1:14">
      <c r="A377" s="20">
        <v>45586</v>
      </c>
      <c r="B377" t="s">
        <v>104</v>
      </c>
      <c r="C377" t="s">
        <v>93</v>
      </c>
      <c r="D377" t="s">
        <v>111</v>
      </c>
      <c r="E377">
        <v>34</v>
      </c>
      <c r="F377">
        <v>99</v>
      </c>
      <c r="G377">
        <v>100</v>
      </c>
      <c r="H377">
        <v>55</v>
      </c>
      <c r="I377" s="11">
        <v>9900</v>
      </c>
      <c r="J377" s="11">
        <v>5445</v>
      </c>
      <c r="K377" s="11">
        <v>4455</v>
      </c>
      <c r="L377" t="s">
        <v>87</v>
      </c>
      <c r="M377" t="s">
        <v>118</v>
      </c>
      <c r="N377" t="s">
        <v>124</v>
      </c>
    </row>
    <row r="378" spans="1:14">
      <c r="A378" s="20">
        <v>45473</v>
      </c>
      <c r="B378" t="s">
        <v>103</v>
      </c>
      <c r="C378" t="s">
        <v>94</v>
      </c>
      <c r="D378" t="s">
        <v>110</v>
      </c>
      <c r="E378">
        <v>39</v>
      </c>
      <c r="F378">
        <v>133</v>
      </c>
      <c r="G378">
        <v>80</v>
      </c>
      <c r="H378">
        <v>45</v>
      </c>
      <c r="I378" s="11">
        <v>10640</v>
      </c>
      <c r="J378" s="11">
        <v>5985</v>
      </c>
      <c r="K378" s="11">
        <v>4655</v>
      </c>
      <c r="L378" t="s">
        <v>83</v>
      </c>
      <c r="M378" t="s">
        <v>116</v>
      </c>
      <c r="N378" t="s">
        <v>125</v>
      </c>
    </row>
    <row r="379" spans="1:14">
      <c r="A379" s="20">
        <v>45327</v>
      </c>
      <c r="B379" t="s">
        <v>103</v>
      </c>
      <c r="C379" t="s">
        <v>94</v>
      </c>
      <c r="D379" t="s">
        <v>110</v>
      </c>
      <c r="E379">
        <v>28</v>
      </c>
      <c r="F379">
        <v>36</v>
      </c>
      <c r="G379">
        <v>80</v>
      </c>
      <c r="H379">
        <v>45</v>
      </c>
      <c r="I379" s="11">
        <v>2880</v>
      </c>
      <c r="J379" s="11">
        <v>1620</v>
      </c>
      <c r="K379" s="11">
        <v>1260</v>
      </c>
      <c r="L379" t="s">
        <v>79</v>
      </c>
      <c r="M379" t="s">
        <v>115</v>
      </c>
      <c r="N379" t="s">
        <v>123</v>
      </c>
    </row>
    <row r="380" spans="1:14">
      <c r="A380" s="20">
        <v>45511</v>
      </c>
      <c r="B380" t="s">
        <v>106</v>
      </c>
      <c r="C380" t="s">
        <v>95</v>
      </c>
      <c r="D380" t="s">
        <v>110</v>
      </c>
      <c r="E380">
        <v>31</v>
      </c>
      <c r="F380">
        <v>106</v>
      </c>
      <c r="G380">
        <v>110</v>
      </c>
      <c r="H380">
        <v>60</v>
      </c>
      <c r="I380" s="11">
        <v>11660</v>
      </c>
      <c r="J380" s="11">
        <v>6360</v>
      </c>
      <c r="K380" s="11">
        <v>5300</v>
      </c>
      <c r="L380" t="s">
        <v>85</v>
      </c>
      <c r="M380" t="s">
        <v>117</v>
      </c>
      <c r="N380" t="s">
        <v>124</v>
      </c>
    </row>
    <row r="381" spans="1:14">
      <c r="A381" s="20">
        <v>45335</v>
      </c>
      <c r="B381" t="s">
        <v>106</v>
      </c>
      <c r="C381" t="s">
        <v>94</v>
      </c>
      <c r="D381" t="s">
        <v>110</v>
      </c>
      <c r="E381">
        <v>30</v>
      </c>
      <c r="F381">
        <v>86</v>
      </c>
      <c r="G381">
        <v>80</v>
      </c>
      <c r="H381">
        <v>45</v>
      </c>
      <c r="I381" s="11">
        <v>6880</v>
      </c>
      <c r="J381" s="11">
        <v>3870</v>
      </c>
      <c r="K381" s="11">
        <v>3010</v>
      </c>
      <c r="L381" t="s">
        <v>79</v>
      </c>
      <c r="M381" t="s">
        <v>115</v>
      </c>
      <c r="N381" t="s">
        <v>123</v>
      </c>
    </row>
    <row r="382" spans="1:14">
      <c r="A382" s="20">
        <v>45487</v>
      </c>
      <c r="B382" t="s">
        <v>105</v>
      </c>
      <c r="C382" t="s">
        <v>93</v>
      </c>
      <c r="D382" t="s">
        <v>110</v>
      </c>
      <c r="E382">
        <v>27</v>
      </c>
      <c r="F382">
        <v>44</v>
      </c>
      <c r="G382">
        <v>100</v>
      </c>
      <c r="H382">
        <v>55</v>
      </c>
      <c r="I382" s="11">
        <v>4400</v>
      </c>
      <c r="J382" s="11">
        <v>2420</v>
      </c>
      <c r="K382" s="11">
        <v>1980</v>
      </c>
      <c r="L382" t="s">
        <v>84</v>
      </c>
      <c r="M382" t="s">
        <v>117</v>
      </c>
      <c r="N382" t="s">
        <v>123</v>
      </c>
    </row>
    <row r="383" spans="1:14">
      <c r="A383" s="20">
        <v>45451</v>
      </c>
      <c r="B383" t="s">
        <v>106</v>
      </c>
      <c r="C383" t="s">
        <v>95</v>
      </c>
      <c r="D383" t="s">
        <v>111</v>
      </c>
      <c r="E383">
        <v>41</v>
      </c>
      <c r="F383">
        <v>198</v>
      </c>
      <c r="G383">
        <v>110</v>
      </c>
      <c r="H383">
        <v>60</v>
      </c>
      <c r="I383" s="11">
        <v>21780</v>
      </c>
      <c r="J383" s="11">
        <v>11880</v>
      </c>
      <c r="K383" s="11">
        <v>9900</v>
      </c>
      <c r="L383" t="s">
        <v>83</v>
      </c>
      <c r="M383" t="s">
        <v>116</v>
      </c>
      <c r="N383" t="s">
        <v>125</v>
      </c>
    </row>
    <row r="384" spans="1:14">
      <c r="A384" s="20">
        <v>45445</v>
      </c>
      <c r="B384" t="s">
        <v>103</v>
      </c>
      <c r="C384" t="s">
        <v>93</v>
      </c>
      <c r="D384" t="s">
        <v>111</v>
      </c>
      <c r="E384">
        <v>36</v>
      </c>
      <c r="F384">
        <v>107</v>
      </c>
      <c r="G384">
        <v>100</v>
      </c>
      <c r="H384">
        <v>55</v>
      </c>
      <c r="I384" s="11">
        <v>10700</v>
      </c>
      <c r="J384" s="11">
        <v>5885</v>
      </c>
      <c r="K384" s="11">
        <v>4815</v>
      </c>
      <c r="L384" t="s">
        <v>83</v>
      </c>
      <c r="M384" t="s">
        <v>116</v>
      </c>
      <c r="N384" t="s">
        <v>125</v>
      </c>
    </row>
    <row r="385" spans="1:14">
      <c r="A385" s="20">
        <v>45373</v>
      </c>
      <c r="B385" t="s">
        <v>105</v>
      </c>
      <c r="C385" t="s">
        <v>94</v>
      </c>
      <c r="D385" t="s">
        <v>110</v>
      </c>
      <c r="E385">
        <v>34</v>
      </c>
      <c r="F385">
        <v>98</v>
      </c>
      <c r="G385">
        <v>80</v>
      </c>
      <c r="H385">
        <v>45</v>
      </c>
      <c r="I385" s="11">
        <v>7840</v>
      </c>
      <c r="J385" s="11">
        <v>4410</v>
      </c>
      <c r="K385" s="11">
        <v>3430</v>
      </c>
      <c r="L385" t="s">
        <v>80</v>
      </c>
      <c r="M385" t="s">
        <v>115</v>
      </c>
      <c r="N385" t="s">
        <v>124</v>
      </c>
    </row>
    <row r="386" spans="1:14">
      <c r="A386" s="20">
        <v>45636</v>
      </c>
      <c r="B386" t="s">
        <v>106</v>
      </c>
      <c r="C386" t="s">
        <v>97</v>
      </c>
      <c r="D386" t="s">
        <v>110</v>
      </c>
      <c r="E386">
        <v>19</v>
      </c>
      <c r="F386">
        <v>42</v>
      </c>
      <c r="G386">
        <v>130</v>
      </c>
      <c r="H386">
        <v>70</v>
      </c>
      <c r="I386" s="11">
        <v>5460</v>
      </c>
      <c r="J386" s="11">
        <v>2940</v>
      </c>
      <c r="K386" s="11">
        <v>2520</v>
      </c>
      <c r="L386" t="s">
        <v>89</v>
      </c>
      <c r="M386" t="s">
        <v>118</v>
      </c>
      <c r="N386" t="s">
        <v>122</v>
      </c>
    </row>
    <row r="387" spans="1:14">
      <c r="A387" s="20">
        <v>45408</v>
      </c>
      <c r="B387" t="s">
        <v>103</v>
      </c>
      <c r="C387" t="s">
        <v>94</v>
      </c>
      <c r="D387" t="s">
        <v>112</v>
      </c>
      <c r="E387">
        <v>32</v>
      </c>
      <c r="F387">
        <v>82</v>
      </c>
      <c r="G387">
        <v>80</v>
      </c>
      <c r="H387">
        <v>45</v>
      </c>
      <c r="I387" s="11">
        <v>6560</v>
      </c>
      <c r="J387" s="11">
        <v>3690</v>
      </c>
      <c r="K387" s="11">
        <v>2870</v>
      </c>
      <c r="L387" t="s">
        <v>81</v>
      </c>
      <c r="M387" t="s">
        <v>116</v>
      </c>
      <c r="N387" t="s">
        <v>124</v>
      </c>
    </row>
    <row r="388" spans="1:14">
      <c r="A388" s="20">
        <v>45443</v>
      </c>
      <c r="B388" t="s">
        <v>106</v>
      </c>
      <c r="C388" t="s">
        <v>94</v>
      </c>
      <c r="D388" t="s">
        <v>111</v>
      </c>
      <c r="E388">
        <v>32</v>
      </c>
      <c r="F388">
        <v>135</v>
      </c>
      <c r="G388">
        <v>80</v>
      </c>
      <c r="H388">
        <v>45</v>
      </c>
      <c r="I388" s="11">
        <v>10800</v>
      </c>
      <c r="J388" s="11">
        <v>6075</v>
      </c>
      <c r="K388" s="11">
        <v>4725</v>
      </c>
      <c r="L388" t="s">
        <v>82</v>
      </c>
      <c r="M388" t="s">
        <v>116</v>
      </c>
      <c r="N388" t="s">
        <v>124</v>
      </c>
    </row>
    <row r="389" spans="1:14">
      <c r="A389" s="20">
        <v>45308</v>
      </c>
      <c r="B389" t="s">
        <v>103</v>
      </c>
      <c r="C389" t="s">
        <v>96</v>
      </c>
      <c r="D389" t="s">
        <v>111</v>
      </c>
      <c r="E389">
        <v>22</v>
      </c>
      <c r="F389">
        <v>19</v>
      </c>
      <c r="G389">
        <v>90</v>
      </c>
      <c r="H389">
        <v>50</v>
      </c>
      <c r="I389" s="11">
        <v>1710</v>
      </c>
      <c r="J389" s="11">
        <v>950</v>
      </c>
      <c r="K389" s="11">
        <v>760</v>
      </c>
      <c r="L389" t="s">
        <v>78</v>
      </c>
      <c r="M389" t="s">
        <v>115</v>
      </c>
      <c r="N389" t="s">
        <v>122</v>
      </c>
    </row>
    <row r="390" spans="1:14">
      <c r="A390" s="20">
        <v>45296</v>
      </c>
      <c r="B390" t="s">
        <v>106</v>
      </c>
      <c r="C390" t="s">
        <v>97</v>
      </c>
      <c r="D390" t="s">
        <v>111</v>
      </c>
      <c r="E390">
        <v>20</v>
      </c>
      <c r="F390">
        <v>43</v>
      </c>
      <c r="G390">
        <v>130</v>
      </c>
      <c r="H390">
        <v>70</v>
      </c>
      <c r="I390" s="11">
        <v>5590</v>
      </c>
      <c r="J390" s="11">
        <v>3010</v>
      </c>
      <c r="K390" s="11">
        <v>2580</v>
      </c>
      <c r="L390" t="s">
        <v>78</v>
      </c>
      <c r="M390" t="s">
        <v>115</v>
      </c>
      <c r="N390" t="s">
        <v>122</v>
      </c>
    </row>
    <row r="391" spans="1:14">
      <c r="A391" s="20">
        <v>45416</v>
      </c>
      <c r="B391" t="s">
        <v>103</v>
      </c>
      <c r="C391" t="s">
        <v>95</v>
      </c>
      <c r="D391" t="s">
        <v>111</v>
      </c>
      <c r="E391">
        <v>41</v>
      </c>
      <c r="F391">
        <v>87</v>
      </c>
      <c r="G391">
        <v>110</v>
      </c>
      <c r="H391">
        <v>60</v>
      </c>
      <c r="I391" s="11">
        <v>9570</v>
      </c>
      <c r="J391" s="11">
        <v>5220</v>
      </c>
      <c r="K391" s="11">
        <v>4350</v>
      </c>
      <c r="L391" t="s">
        <v>82</v>
      </c>
      <c r="M391" t="s">
        <v>116</v>
      </c>
      <c r="N391" t="s">
        <v>125</v>
      </c>
    </row>
    <row r="392" spans="1:14">
      <c r="A392" s="20">
        <v>45390</v>
      </c>
      <c r="B392" t="s">
        <v>105</v>
      </c>
      <c r="C392" t="s">
        <v>94</v>
      </c>
      <c r="D392" t="s">
        <v>110</v>
      </c>
      <c r="E392">
        <v>36</v>
      </c>
      <c r="F392">
        <v>184</v>
      </c>
      <c r="G392">
        <v>80</v>
      </c>
      <c r="H392">
        <v>45</v>
      </c>
      <c r="I392" s="11">
        <v>14720</v>
      </c>
      <c r="J392" s="11">
        <v>8280</v>
      </c>
      <c r="K392" s="11">
        <v>6440</v>
      </c>
      <c r="L392" t="s">
        <v>81</v>
      </c>
      <c r="M392" t="s">
        <v>116</v>
      </c>
      <c r="N392" t="s">
        <v>125</v>
      </c>
    </row>
    <row r="393" spans="1:14">
      <c r="A393" s="20">
        <v>45311</v>
      </c>
      <c r="B393" t="s">
        <v>105</v>
      </c>
      <c r="C393" t="s">
        <v>96</v>
      </c>
      <c r="D393" t="s">
        <v>111</v>
      </c>
      <c r="E393">
        <v>25</v>
      </c>
      <c r="F393">
        <v>24</v>
      </c>
      <c r="G393">
        <v>90</v>
      </c>
      <c r="H393">
        <v>50</v>
      </c>
      <c r="I393" s="11">
        <v>2160</v>
      </c>
      <c r="J393" s="11">
        <v>1200</v>
      </c>
      <c r="K393" s="11">
        <v>960</v>
      </c>
      <c r="L393" t="s">
        <v>78</v>
      </c>
      <c r="M393" t="s">
        <v>115</v>
      </c>
      <c r="N393" t="s">
        <v>123</v>
      </c>
    </row>
    <row r="394" spans="1:14">
      <c r="A394" s="20">
        <v>45523</v>
      </c>
      <c r="B394" t="s">
        <v>106</v>
      </c>
      <c r="C394" t="s">
        <v>98</v>
      </c>
      <c r="D394" t="s">
        <v>112</v>
      </c>
      <c r="E394">
        <v>34</v>
      </c>
      <c r="F394">
        <v>56</v>
      </c>
      <c r="G394">
        <v>100</v>
      </c>
      <c r="H394">
        <v>55</v>
      </c>
      <c r="I394" s="11">
        <v>5600</v>
      </c>
      <c r="J394" s="11">
        <v>3080</v>
      </c>
      <c r="K394" s="11">
        <v>2520</v>
      </c>
      <c r="L394" t="s">
        <v>85</v>
      </c>
      <c r="M394" t="s">
        <v>117</v>
      </c>
      <c r="N394" t="s">
        <v>124</v>
      </c>
    </row>
    <row r="395" spans="1:14">
      <c r="A395" s="20">
        <v>45459</v>
      </c>
      <c r="B395" t="s">
        <v>105</v>
      </c>
      <c r="C395" t="s">
        <v>97</v>
      </c>
      <c r="D395" t="s">
        <v>110</v>
      </c>
      <c r="E395">
        <v>39</v>
      </c>
      <c r="F395">
        <v>180</v>
      </c>
      <c r="G395">
        <v>130</v>
      </c>
      <c r="H395">
        <v>70</v>
      </c>
      <c r="I395" s="11">
        <v>23400</v>
      </c>
      <c r="J395" s="11">
        <v>12600</v>
      </c>
      <c r="K395" s="11">
        <v>10800</v>
      </c>
      <c r="L395" t="s">
        <v>83</v>
      </c>
      <c r="M395" t="s">
        <v>116</v>
      </c>
      <c r="N395" t="s">
        <v>125</v>
      </c>
    </row>
    <row r="396" spans="1:14">
      <c r="A396" s="20">
        <v>45335</v>
      </c>
      <c r="B396" t="s">
        <v>104</v>
      </c>
      <c r="C396" t="s">
        <v>96</v>
      </c>
      <c r="D396" t="s">
        <v>110</v>
      </c>
      <c r="E396">
        <v>32</v>
      </c>
      <c r="F396">
        <v>81</v>
      </c>
      <c r="G396">
        <v>90</v>
      </c>
      <c r="H396">
        <v>50</v>
      </c>
      <c r="I396" s="11">
        <v>7290</v>
      </c>
      <c r="J396" s="11">
        <v>4050</v>
      </c>
      <c r="K396" s="11">
        <v>3240</v>
      </c>
      <c r="L396" t="s">
        <v>79</v>
      </c>
      <c r="M396" t="s">
        <v>115</v>
      </c>
      <c r="N396" t="s">
        <v>124</v>
      </c>
    </row>
    <row r="397" spans="1:14">
      <c r="A397" s="20">
        <v>45380</v>
      </c>
      <c r="B397" t="s">
        <v>103</v>
      </c>
      <c r="C397" t="s">
        <v>93</v>
      </c>
      <c r="D397" t="s">
        <v>110</v>
      </c>
      <c r="E397">
        <v>39</v>
      </c>
      <c r="F397">
        <v>60</v>
      </c>
      <c r="G397">
        <v>100</v>
      </c>
      <c r="H397">
        <v>55</v>
      </c>
      <c r="I397" s="11">
        <v>6000</v>
      </c>
      <c r="J397" s="11">
        <v>3300</v>
      </c>
      <c r="K397" s="11">
        <v>2700</v>
      </c>
      <c r="L397" t="s">
        <v>80</v>
      </c>
      <c r="M397" t="s">
        <v>115</v>
      </c>
      <c r="N397" t="s">
        <v>125</v>
      </c>
    </row>
    <row r="398" spans="1:14">
      <c r="A398" s="20">
        <v>45559</v>
      </c>
      <c r="B398" t="s">
        <v>103</v>
      </c>
      <c r="C398" t="s">
        <v>96</v>
      </c>
      <c r="D398" t="s">
        <v>111</v>
      </c>
      <c r="E398">
        <v>30</v>
      </c>
      <c r="F398">
        <v>65</v>
      </c>
      <c r="G398">
        <v>90</v>
      </c>
      <c r="H398">
        <v>50</v>
      </c>
      <c r="I398" s="11">
        <v>5850</v>
      </c>
      <c r="J398" s="11">
        <v>3250</v>
      </c>
      <c r="K398" s="11">
        <v>2600</v>
      </c>
      <c r="L398" t="s">
        <v>86</v>
      </c>
      <c r="M398" t="s">
        <v>117</v>
      </c>
      <c r="N398" t="s">
        <v>123</v>
      </c>
    </row>
    <row r="399" spans="1:14">
      <c r="A399" s="20">
        <v>45376</v>
      </c>
      <c r="B399" t="s">
        <v>105</v>
      </c>
      <c r="C399" t="s">
        <v>93</v>
      </c>
      <c r="D399" t="s">
        <v>110</v>
      </c>
      <c r="E399">
        <v>33</v>
      </c>
      <c r="F399">
        <v>153</v>
      </c>
      <c r="G399">
        <v>100</v>
      </c>
      <c r="H399">
        <v>55</v>
      </c>
      <c r="I399" s="11">
        <v>15300</v>
      </c>
      <c r="J399" s="11">
        <v>8415</v>
      </c>
      <c r="K399" s="11">
        <v>6885</v>
      </c>
      <c r="L399" t="s">
        <v>80</v>
      </c>
      <c r="M399" t="s">
        <v>115</v>
      </c>
      <c r="N399" t="s">
        <v>124</v>
      </c>
    </row>
    <row r="400" spans="1:14">
      <c r="A400" s="20">
        <v>45333</v>
      </c>
      <c r="B400" t="s">
        <v>104</v>
      </c>
      <c r="C400" t="s">
        <v>93</v>
      </c>
      <c r="D400" t="s">
        <v>110</v>
      </c>
      <c r="E400">
        <v>28</v>
      </c>
      <c r="F400">
        <v>109</v>
      </c>
      <c r="G400">
        <v>100</v>
      </c>
      <c r="H400">
        <v>55</v>
      </c>
      <c r="I400" s="11">
        <v>10900</v>
      </c>
      <c r="J400" s="11">
        <v>5995</v>
      </c>
      <c r="K400" s="11">
        <v>4905</v>
      </c>
      <c r="L400" t="s">
        <v>79</v>
      </c>
      <c r="M400" t="s">
        <v>115</v>
      </c>
      <c r="N400" t="s">
        <v>123</v>
      </c>
    </row>
    <row r="401" spans="1:14">
      <c r="A401" s="20">
        <v>45656</v>
      </c>
      <c r="B401" t="s">
        <v>103</v>
      </c>
      <c r="C401" t="s">
        <v>97</v>
      </c>
      <c r="D401" t="s">
        <v>112</v>
      </c>
      <c r="E401">
        <v>18</v>
      </c>
      <c r="F401">
        <v>42</v>
      </c>
      <c r="G401">
        <v>130</v>
      </c>
      <c r="H401">
        <v>70</v>
      </c>
      <c r="I401" s="11">
        <v>5460</v>
      </c>
      <c r="J401" s="11">
        <v>2940</v>
      </c>
      <c r="K401" s="11">
        <v>2520</v>
      </c>
      <c r="L401" t="s">
        <v>89</v>
      </c>
      <c r="M401" t="s">
        <v>118</v>
      </c>
      <c r="N401" t="s">
        <v>122</v>
      </c>
    </row>
    <row r="402" spans="1:14">
      <c r="A402" s="20">
        <v>45299</v>
      </c>
      <c r="B402" t="s">
        <v>105</v>
      </c>
      <c r="C402" t="s">
        <v>98</v>
      </c>
      <c r="D402" t="s">
        <v>110</v>
      </c>
      <c r="E402">
        <v>23</v>
      </c>
      <c r="F402">
        <v>13</v>
      </c>
      <c r="G402">
        <v>100</v>
      </c>
      <c r="H402">
        <v>55</v>
      </c>
      <c r="I402" s="11">
        <v>1300</v>
      </c>
      <c r="J402" s="11">
        <v>715</v>
      </c>
      <c r="K402" s="11">
        <v>585</v>
      </c>
      <c r="L402" t="s">
        <v>78</v>
      </c>
      <c r="M402" t="s">
        <v>115</v>
      </c>
      <c r="N402" t="s">
        <v>122</v>
      </c>
    </row>
    <row r="403" spans="1:14">
      <c r="A403" s="20">
        <v>45657</v>
      </c>
      <c r="B403" t="s">
        <v>106</v>
      </c>
      <c r="C403" t="s">
        <v>94</v>
      </c>
      <c r="D403" t="s">
        <v>111</v>
      </c>
      <c r="E403">
        <v>24</v>
      </c>
      <c r="F403">
        <v>55</v>
      </c>
      <c r="G403">
        <v>80</v>
      </c>
      <c r="H403">
        <v>45</v>
      </c>
      <c r="I403" s="11">
        <v>4400</v>
      </c>
      <c r="J403" s="11">
        <v>2475</v>
      </c>
      <c r="K403" s="11">
        <v>1925</v>
      </c>
      <c r="L403" t="s">
        <v>89</v>
      </c>
      <c r="M403" t="s">
        <v>118</v>
      </c>
      <c r="N403" t="s">
        <v>122</v>
      </c>
    </row>
    <row r="404" spans="1:14">
      <c r="A404" s="20">
        <v>45307</v>
      </c>
      <c r="B404" t="s">
        <v>104</v>
      </c>
      <c r="C404" t="s">
        <v>97</v>
      </c>
      <c r="D404" t="s">
        <v>110</v>
      </c>
      <c r="E404">
        <v>19</v>
      </c>
      <c r="F404">
        <v>39</v>
      </c>
      <c r="G404">
        <v>130</v>
      </c>
      <c r="H404">
        <v>70</v>
      </c>
      <c r="I404" s="11">
        <v>5070</v>
      </c>
      <c r="J404" s="11">
        <v>2730</v>
      </c>
      <c r="K404" s="11">
        <v>2340</v>
      </c>
      <c r="L404" t="s">
        <v>78</v>
      </c>
      <c r="M404" t="s">
        <v>115</v>
      </c>
      <c r="N404" t="s">
        <v>122</v>
      </c>
    </row>
    <row r="405" spans="1:14">
      <c r="A405" s="20">
        <v>45551</v>
      </c>
      <c r="B405" t="s">
        <v>106</v>
      </c>
      <c r="C405" t="s">
        <v>97</v>
      </c>
      <c r="D405" t="s">
        <v>111</v>
      </c>
      <c r="E405">
        <v>30</v>
      </c>
      <c r="F405">
        <v>56</v>
      </c>
      <c r="G405">
        <v>130</v>
      </c>
      <c r="H405">
        <v>70</v>
      </c>
      <c r="I405" s="11">
        <v>7280</v>
      </c>
      <c r="J405" s="11">
        <v>3920</v>
      </c>
      <c r="K405" s="11">
        <v>3360</v>
      </c>
      <c r="L405" t="s">
        <v>86</v>
      </c>
      <c r="M405" t="s">
        <v>117</v>
      </c>
      <c r="N405" t="s">
        <v>123</v>
      </c>
    </row>
    <row r="406" spans="1:14">
      <c r="A406" s="20">
        <v>45316</v>
      </c>
      <c r="B406" t="s">
        <v>103</v>
      </c>
      <c r="C406" t="s">
        <v>94</v>
      </c>
      <c r="D406" t="s">
        <v>111</v>
      </c>
      <c r="E406">
        <v>22</v>
      </c>
      <c r="F406">
        <v>35</v>
      </c>
      <c r="G406">
        <v>80</v>
      </c>
      <c r="H406">
        <v>45</v>
      </c>
      <c r="I406" s="11">
        <v>2800</v>
      </c>
      <c r="J406" s="11">
        <v>1575</v>
      </c>
      <c r="K406" s="11">
        <v>1225</v>
      </c>
      <c r="L406" t="s">
        <v>78</v>
      </c>
      <c r="M406" t="s">
        <v>115</v>
      </c>
      <c r="N406" t="s">
        <v>122</v>
      </c>
    </row>
    <row r="407" spans="1:14">
      <c r="A407" s="20">
        <v>45518</v>
      </c>
      <c r="B407" t="s">
        <v>106</v>
      </c>
      <c r="C407" t="s">
        <v>94</v>
      </c>
      <c r="D407" t="s">
        <v>111</v>
      </c>
      <c r="E407">
        <v>31</v>
      </c>
      <c r="F407">
        <v>79</v>
      </c>
      <c r="G407">
        <v>80</v>
      </c>
      <c r="H407">
        <v>45</v>
      </c>
      <c r="I407" s="11">
        <v>6320</v>
      </c>
      <c r="J407" s="11">
        <v>3555</v>
      </c>
      <c r="K407" s="11">
        <v>2765</v>
      </c>
      <c r="L407" t="s">
        <v>85</v>
      </c>
      <c r="M407" t="s">
        <v>117</v>
      </c>
      <c r="N407" t="s">
        <v>124</v>
      </c>
    </row>
    <row r="408" spans="1:14">
      <c r="A408" s="20">
        <v>45502</v>
      </c>
      <c r="B408" t="s">
        <v>106</v>
      </c>
      <c r="C408" t="s">
        <v>95</v>
      </c>
      <c r="D408" t="s">
        <v>112</v>
      </c>
      <c r="E408">
        <v>30</v>
      </c>
      <c r="F408">
        <v>102</v>
      </c>
      <c r="G408">
        <v>110</v>
      </c>
      <c r="H408">
        <v>60</v>
      </c>
      <c r="I408" s="11">
        <v>11220</v>
      </c>
      <c r="J408" s="11">
        <v>6120</v>
      </c>
      <c r="K408" s="11">
        <v>5100</v>
      </c>
      <c r="L408" t="s">
        <v>84</v>
      </c>
      <c r="M408" t="s">
        <v>117</v>
      </c>
      <c r="N408" t="s">
        <v>123</v>
      </c>
    </row>
    <row r="409" spans="1:14">
      <c r="A409" s="20">
        <v>45507</v>
      </c>
      <c r="B409" t="s">
        <v>106</v>
      </c>
      <c r="C409" t="s">
        <v>93</v>
      </c>
      <c r="D409" t="s">
        <v>110</v>
      </c>
      <c r="E409">
        <v>33</v>
      </c>
      <c r="F409">
        <v>50</v>
      </c>
      <c r="G409">
        <v>100</v>
      </c>
      <c r="H409">
        <v>55</v>
      </c>
      <c r="I409" s="11">
        <v>5000</v>
      </c>
      <c r="J409" s="11">
        <v>2750</v>
      </c>
      <c r="K409" s="11">
        <v>2250</v>
      </c>
      <c r="L409" t="s">
        <v>85</v>
      </c>
      <c r="M409" t="s">
        <v>117</v>
      </c>
      <c r="N409" t="s">
        <v>124</v>
      </c>
    </row>
    <row r="410" spans="1:14">
      <c r="A410" s="20">
        <v>45509</v>
      </c>
      <c r="B410" t="s">
        <v>103</v>
      </c>
      <c r="C410" t="s">
        <v>94</v>
      </c>
      <c r="D410" t="s">
        <v>110</v>
      </c>
      <c r="E410">
        <v>28</v>
      </c>
      <c r="F410">
        <v>70</v>
      </c>
      <c r="G410">
        <v>80</v>
      </c>
      <c r="H410">
        <v>45</v>
      </c>
      <c r="I410" s="11">
        <v>5600</v>
      </c>
      <c r="J410" s="11">
        <v>3150</v>
      </c>
      <c r="K410" s="11">
        <v>2450</v>
      </c>
      <c r="L410" t="s">
        <v>85</v>
      </c>
      <c r="M410" t="s">
        <v>117</v>
      </c>
      <c r="N410" t="s">
        <v>123</v>
      </c>
    </row>
    <row r="411" spans="1:14">
      <c r="A411" s="20">
        <v>45629</v>
      </c>
      <c r="B411" t="s">
        <v>105</v>
      </c>
      <c r="C411" t="s">
        <v>95</v>
      </c>
      <c r="D411" t="s">
        <v>111</v>
      </c>
      <c r="E411">
        <v>18</v>
      </c>
      <c r="F411">
        <v>31</v>
      </c>
      <c r="G411">
        <v>110</v>
      </c>
      <c r="H411">
        <v>60</v>
      </c>
      <c r="I411" s="11">
        <v>3410</v>
      </c>
      <c r="J411" s="11">
        <v>1860</v>
      </c>
      <c r="K411" s="11">
        <v>1550</v>
      </c>
      <c r="L411" t="s">
        <v>89</v>
      </c>
      <c r="M411" t="s">
        <v>118</v>
      </c>
      <c r="N411" t="s">
        <v>122</v>
      </c>
    </row>
    <row r="412" spans="1:14">
      <c r="A412" s="20">
        <v>45616</v>
      </c>
      <c r="B412" t="s">
        <v>106</v>
      </c>
      <c r="C412" t="s">
        <v>98</v>
      </c>
      <c r="D412" t="s">
        <v>110</v>
      </c>
      <c r="E412">
        <v>21</v>
      </c>
      <c r="F412">
        <v>42</v>
      </c>
      <c r="G412">
        <v>100</v>
      </c>
      <c r="H412">
        <v>55</v>
      </c>
      <c r="I412" s="11">
        <v>4200</v>
      </c>
      <c r="J412" s="11">
        <v>2310</v>
      </c>
      <c r="K412" s="11">
        <v>1890</v>
      </c>
      <c r="L412" t="s">
        <v>88</v>
      </c>
      <c r="M412" t="s">
        <v>118</v>
      </c>
      <c r="N412" t="s">
        <v>122</v>
      </c>
    </row>
    <row r="413" spans="1:14">
      <c r="A413" s="20">
        <v>45563</v>
      </c>
      <c r="B413" t="s">
        <v>103</v>
      </c>
      <c r="C413" t="s">
        <v>94</v>
      </c>
      <c r="D413" t="s">
        <v>110</v>
      </c>
      <c r="E413">
        <v>32</v>
      </c>
      <c r="F413">
        <v>76</v>
      </c>
      <c r="G413">
        <v>80</v>
      </c>
      <c r="H413">
        <v>45</v>
      </c>
      <c r="I413" s="11">
        <v>6080</v>
      </c>
      <c r="J413" s="11">
        <v>3420</v>
      </c>
      <c r="K413" s="11">
        <v>2660</v>
      </c>
      <c r="L413" t="s">
        <v>86</v>
      </c>
      <c r="M413" t="s">
        <v>117</v>
      </c>
      <c r="N413" t="s">
        <v>124</v>
      </c>
    </row>
    <row r="414" spans="1:14">
      <c r="A414" s="20">
        <v>45492</v>
      </c>
      <c r="B414" t="s">
        <v>106</v>
      </c>
      <c r="C414" t="s">
        <v>95</v>
      </c>
      <c r="D414" t="s">
        <v>110</v>
      </c>
      <c r="E414">
        <v>28</v>
      </c>
      <c r="F414">
        <v>92</v>
      </c>
      <c r="G414">
        <v>110</v>
      </c>
      <c r="H414">
        <v>60</v>
      </c>
      <c r="I414" s="11">
        <v>10120</v>
      </c>
      <c r="J414" s="11">
        <v>5520</v>
      </c>
      <c r="K414" s="11">
        <v>4600</v>
      </c>
      <c r="L414" t="s">
        <v>84</v>
      </c>
      <c r="M414" t="s">
        <v>117</v>
      </c>
      <c r="N414" t="s">
        <v>123</v>
      </c>
    </row>
    <row r="415" spans="1:14">
      <c r="A415" s="20">
        <v>45295</v>
      </c>
      <c r="B415" t="s">
        <v>103</v>
      </c>
      <c r="C415" t="s">
        <v>98</v>
      </c>
      <c r="D415" t="s">
        <v>110</v>
      </c>
      <c r="E415">
        <v>20</v>
      </c>
      <c r="F415">
        <v>30</v>
      </c>
      <c r="G415">
        <v>100</v>
      </c>
      <c r="H415">
        <v>55</v>
      </c>
      <c r="I415" s="11">
        <v>3000</v>
      </c>
      <c r="J415" s="11">
        <v>1650</v>
      </c>
      <c r="K415" s="11">
        <v>1350</v>
      </c>
      <c r="L415" t="s">
        <v>78</v>
      </c>
      <c r="M415" t="s">
        <v>115</v>
      </c>
      <c r="N415" t="s">
        <v>122</v>
      </c>
    </row>
    <row r="416" spans="1:14">
      <c r="A416" s="20">
        <v>45604</v>
      </c>
      <c r="B416" t="s">
        <v>105</v>
      </c>
      <c r="C416" t="s">
        <v>93</v>
      </c>
      <c r="D416" t="s">
        <v>112</v>
      </c>
      <c r="E416">
        <v>18</v>
      </c>
      <c r="F416">
        <v>21</v>
      </c>
      <c r="G416">
        <v>100</v>
      </c>
      <c r="H416">
        <v>55</v>
      </c>
      <c r="I416" s="11">
        <v>2100</v>
      </c>
      <c r="J416" s="11">
        <v>1155</v>
      </c>
      <c r="K416" s="11">
        <v>945</v>
      </c>
      <c r="L416" t="s">
        <v>88</v>
      </c>
      <c r="M416" t="s">
        <v>118</v>
      </c>
      <c r="N416" t="s">
        <v>122</v>
      </c>
    </row>
    <row r="417" spans="1:14">
      <c r="A417" s="20">
        <v>45330</v>
      </c>
      <c r="B417" t="s">
        <v>103</v>
      </c>
      <c r="C417" t="s">
        <v>98</v>
      </c>
      <c r="D417" t="s">
        <v>112</v>
      </c>
      <c r="E417">
        <v>32</v>
      </c>
      <c r="F417">
        <v>35</v>
      </c>
      <c r="G417">
        <v>100</v>
      </c>
      <c r="H417">
        <v>55</v>
      </c>
      <c r="I417" s="11">
        <v>3500</v>
      </c>
      <c r="J417" s="11">
        <v>1925</v>
      </c>
      <c r="K417" s="11">
        <v>1575</v>
      </c>
      <c r="L417" t="s">
        <v>79</v>
      </c>
      <c r="M417" t="s">
        <v>115</v>
      </c>
      <c r="N417" t="s">
        <v>124</v>
      </c>
    </row>
    <row r="418" spans="1:14">
      <c r="A418" s="20">
        <v>45382</v>
      </c>
      <c r="B418" t="s">
        <v>104</v>
      </c>
      <c r="C418" t="s">
        <v>93</v>
      </c>
      <c r="D418" t="s">
        <v>110</v>
      </c>
      <c r="E418">
        <v>34</v>
      </c>
      <c r="F418">
        <v>121</v>
      </c>
      <c r="G418">
        <v>100</v>
      </c>
      <c r="H418">
        <v>55</v>
      </c>
      <c r="I418" s="11">
        <v>12100</v>
      </c>
      <c r="J418" s="11">
        <v>6655</v>
      </c>
      <c r="K418" s="11">
        <v>5445</v>
      </c>
      <c r="L418" t="s">
        <v>80</v>
      </c>
      <c r="M418" t="s">
        <v>115</v>
      </c>
      <c r="N418" t="s">
        <v>124</v>
      </c>
    </row>
    <row r="419" spans="1:14">
      <c r="A419" s="20">
        <v>45438</v>
      </c>
      <c r="B419" t="s">
        <v>103</v>
      </c>
      <c r="C419" t="s">
        <v>97</v>
      </c>
      <c r="D419" t="s">
        <v>110</v>
      </c>
      <c r="E419">
        <v>39</v>
      </c>
      <c r="F419">
        <v>74</v>
      </c>
      <c r="G419">
        <v>130</v>
      </c>
      <c r="H419">
        <v>70</v>
      </c>
      <c r="I419" s="11">
        <v>9620</v>
      </c>
      <c r="J419" s="11">
        <v>5180</v>
      </c>
      <c r="K419" s="11">
        <v>4440</v>
      </c>
      <c r="L419" t="s">
        <v>82</v>
      </c>
      <c r="M419" t="s">
        <v>116</v>
      </c>
      <c r="N419" t="s">
        <v>125</v>
      </c>
    </row>
    <row r="420" spans="1:14">
      <c r="A420" s="20">
        <v>45635</v>
      </c>
      <c r="B420" t="s">
        <v>106</v>
      </c>
      <c r="C420" t="s">
        <v>94</v>
      </c>
      <c r="D420" t="s">
        <v>110</v>
      </c>
      <c r="E420">
        <v>20</v>
      </c>
      <c r="F420">
        <v>28</v>
      </c>
      <c r="G420">
        <v>80</v>
      </c>
      <c r="H420">
        <v>45</v>
      </c>
      <c r="I420" s="11">
        <v>2240</v>
      </c>
      <c r="J420" s="11">
        <v>1260</v>
      </c>
      <c r="K420" s="11">
        <v>980</v>
      </c>
      <c r="L420" t="s">
        <v>89</v>
      </c>
      <c r="M420" t="s">
        <v>118</v>
      </c>
      <c r="N420" t="s">
        <v>122</v>
      </c>
    </row>
    <row r="421" spans="1:14">
      <c r="A421" s="20">
        <v>45566</v>
      </c>
      <c r="B421" t="s">
        <v>103</v>
      </c>
      <c r="C421" t="s">
        <v>98</v>
      </c>
      <c r="D421" t="s">
        <v>112</v>
      </c>
      <c r="E421">
        <v>34</v>
      </c>
      <c r="F421">
        <v>92</v>
      </c>
      <c r="G421">
        <v>100</v>
      </c>
      <c r="H421">
        <v>55</v>
      </c>
      <c r="I421" s="11">
        <v>9200</v>
      </c>
      <c r="J421" s="11">
        <v>5060</v>
      </c>
      <c r="K421" s="11">
        <v>4140</v>
      </c>
      <c r="L421" t="s">
        <v>87</v>
      </c>
      <c r="M421" t="s">
        <v>118</v>
      </c>
      <c r="N421" t="s">
        <v>124</v>
      </c>
    </row>
    <row r="422" spans="1:14">
      <c r="A422" s="20">
        <v>45542</v>
      </c>
      <c r="B422" t="s">
        <v>104</v>
      </c>
      <c r="C422" t="s">
        <v>96</v>
      </c>
      <c r="D422" t="s">
        <v>111</v>
      </c>
      <c r="E422">
        <v>33</v>
      </c>
      <c r="F422">
        <v>43</v>
      </c>
      <c r="G422">
        <v>90</v>
      </c>
      <c r="H422">
        <v>50</v>
      </c>
      <c r="I422" s="11">
        <v>3870</v>
      </c>
      <c r="J422" s="11">
        <v>2150</v>
      </c>
      <c r="K422" s="11">
        <v>1720</v>
      </c>
      <c r="L422" t="s">
        <v>86</v>
      </c>
      <c r="M422" t="s">
        <v>117</v>
      </c>
      <c r="N422" t="s">
        <v>124</v>
      </c>
    </row>
    <row r="423" spans="1:14">
      <c r="A423" s="20">
        <v>45608</v>
      </c>
      <c r="B423" t="s">
        <v>103</v>
      </c>
      <c r="C423" t="s">
        <v>94</v>
      </c>
      <c r="D423" t="s">
        <v>110</v>
      </c>
      <c r="E423">
        <v>25</v>
      </c>
      <c r="F423">
        <v>42</v>
      </c>
      <c r="G423">
        <v>80</v>
      </c>
      <c r="H423">
        <v>45</v>
      </c>
      <c r="I423" s="11">
        <v>3360</v>
      </c>
      <c r="J423" s="11">
        <v>1890</v>
      </c>
      <c r="K423" s="11">
        <v>1470</v>
      </c>
      <c r="L423" t="s">
        <v>88</v>
      </c>
      <c r="M423" t="s">
        <v>118</v>
      </c>
      <c r="N423" t="s">
        <v>123</v>
      </c>
    </row>
    <row r="424" spans="1:14">
      <c r="A424" s="20">
        <v>45599</v>
      </c>
      <c r="B424" t="s">
        <v>104</v>
      </c>
      <c r="C424" t="s">
        <v>93</v>
      </c>
      <c r="D424" t="s">
        <v>110</v>
      </c>
      <c r="E424">
        <v>26</v>
      </c>
      <c r="F424">
        <v>23</v>
      </c>
      <c r="G424">
        <v>100</v>
      </c>
      <c r="H424">
        <v>55</v>
      </c>
      <c r="I424" s="11">
        <v>2300</v>
      </c>
      <c r="J424" s="11">
        <v>1265</v>
      </c>
      <c r="K424" s="11">
        <v>1035</v>
      </c>
      <c r="L424" t="s">
        <v>88</v>
      </c>
      <c r="M424" t="s">
        <v>118</v>
      </c>
      <c r="N424" t="s">
        <v>123</v>
      </c>
    </row>
    <row r="425" spans="1:14">
      <c r="A425" s="20">
        <v>45487</v>
      </c>
      <c r="B425" t="s">
        <v>106</v>
      </c>
      <c r="C425" t="s">
        <v>94</v>
      </c>
      <c r="D425" t="s">
        <v>112</v>
      </c>
      <c r="E425">
        <v>33</v>
      </c>
      <c r="F425">
        <v>70</v>
      </c>
      <c r="G425">
        <v>80</v>
      </c>
      <c r="H425">
        <v>45</v>
      </c>
      <c r="I425" s="11">
        <v>5600</v>
      </c>
      <c r="J425" s="11">
        <v>3150</v>
      </c>
      <c r="K425" s="11">
        <v>2450</v>
      </c>
      <c r="L425" t="s">
        <v>84</v>
      </c>
      <c r="M425" t="s">
        <v>117</v>
      </c>
      <c r="N425" t="s">
        <v>124</v>
      </c>
    </row>
    <row r="426" spans="1:14">
      <c r="A426" s="20">
        <v>45418</v>
      </c>
      <c r="B426" t="s">
        <v>104</v>
      </c>
      <c r="C426" t="s">
        <v>96</v>
      </c>
      <c r="D426" t="s">
        <v>111</v>
      </c>
      <c r="E426">
        <v>34</v>
      </c>
      <c r="F426">
        <v>61</v>
      </c>
      <c r="G426">
        <v>90</v>
      </c>
      <c r="H426">
        <v>50</v>
      </c>
      <c r="I426" s="11">
        <v>5490</v>
      </c>
      <c r="J426" s="11">
        <v>3050</v>
      </c>
      <c r="K426" s="11">
        <v>2440</v>
      </c>
      <c r="L426" t="s">
        <v>82</v>
      </c>
      <c r="M426" t="s">
        <v>116</v>
      </c>
      <c r="N426" t="s">
        <v>124</v>
      </c>
    </row>
    <row r="427" spans="1:14">
      <c r="A427" s="20">
        <v>45558</v>
      </c>
      <c r="B427" t="s">
        <v>106</v>
      </c>
      <c r="C427" t="s">
        <v>97</v>
      </c>
      <c r="D427" t="s">
        <v>111</v>
      </c>
      <c r="E427">
        <v>29</v>
      </c>
      <c r="F427">
        <v>98</v>
      </c>
      <c r="G427">
        <v>130</v>
      </c>
      <c r="H427">
        <v>70</v>
      </c>
      <c r="I427" s="11">
        <v>12740</v>
      </c>
      <c r="J427" s="11">
        <v>6860</v>
      </c>
      <c r="K427" s="11">
        <v>5880</v>
      </c>
      <c r="L427" t="s">
        <v>86</v>
      </c>
      <c r="M427" t="s">
        <v>117</v>
      </c>
      <c r="N427" t="s">
        <v>123</v>
      </c>
    </row>
    <row r="428" spans="1:14">
      <c r="A428" s="20">
        <v>45648</v>
      </c>
      <c r="B428" t="s">
        <v>103</v>
      </c>
      <c r="C428" t="s">
        <v>96</v>
      </c>
      <c r="D428" t="s">
        <v>110</v>
      </c>
      <c r="E428">
        <v>21</v>
      </c>
      <c r="F428">
        <v>18</v>
      </c>
      <c r="G428">
        <v>90</v>
      </c>
      <c r="H428">
        <v>50</v>
      </c>
      <c r="I428" s="11">
        <v>1620</v>
      </c>
      <c r="J428" s="11">
        <v>900</v>
      </c>
      <c r="K428" s="11">
        <v>720</v>
      </c>
      <c r="L428" t="s">
        <v>89</v>
      </c>
      <c r="M428" t="s">
        <v>118</v>
      </c>
      <c r="N428" t="s">
        <v>122</v>
      </c>
    </row>
    <row r="429" spans="1:14">
      <c r="A429" s="20">
        <v>45326</v>
      </c>
      <c r="B429" t="s">
        <v>106</v>
      </c>
      <c r="C429" t="s">
        <v>98</v>
      </c>
      <c r="D429" t="s">
        <v>111</v>
      </c>
      <c r="E429">
        <v>32</v>
      </c>
      <c r="F429">
        <v>74</v>
      </c>
      <c r="G429">
        <v>100</v>
      </c>
      <c r="H429">
        <v>55</v>
      </c>
      <c r="I429" s="11">
        <v>7400</v>
      </c>
      <c r="J429" s="11">
        <v>4070</v>
      </c>
      <c r="K429" s="11">
        <v>3330</v>
      </c>
      <c r="L429" t="s">
        <v>79</v>
      </c>
      <c r="M429" t="s">
        <v>115</v>
      </c>
      <c r="N429" t="s">
        <v>124</v>
      </c>
    </row>
    <row r="430" spans="1:14">
      <c r="A430" s="20">
        <v>45623</v>
      </c>
      <c r="B430" t="s">
        <v>104</v>
      </c>
      <c r="C430" t="s">
        <v>97</v>
      </c>
      <c r="D430" t="s">
        <v>110</v>
      </c>
      <c r="E430">
        <v>27</v>
      </c>
      <c r="F430">
        <v>28</v>
      </c>
      <c r="G430">
        <v>130</v>
      </c>
      <c r="H430">
        <v>70</v>
      </c>
      <c r="I430" s="11">
        <v>3640</v>
      </c>
      <c r="J430" s="11">
        <v>1960</v>
      </c>
      <c r="K430" s="11">
        <v>1680</v>
      </c>
      <c r="L430" t="s">
        <v>88</v>
      </c>
      <c r="M430" t="s">
        <v>118</v>
      </c>
      <c r="N430" t="s">
        <v>123</v>
      </c>
    </row>
    <row r="431" spans="1:14">
      <c r="A431" s="20">
        <v>45599</v>
      </c>
      <c r="B431" t="s">
        <v>105</v>
      </c>
      <c r="C431" t="s">
        <v>93</v>
      </c>
      <c r="D431" t="s">
        <v>111</v>
      </c>
      <c r="E431">
        <v>26</v>
      </c>
      <c r="F431">
        <v>29</v>
      </c>
      <c r="G431">
        <v>100</v>
      </c>
      <c r="H431">
        <v>55</v>
      </c>
      <c r="I431" s="11">
        <v>2900</v>
      </c>
      <c r="J431" s="11">
        <v>1595</v>
      </c>
      <c r="K431" s="11">
        <v>1305</v>
      </c>
      <c r="L431" t="s">
        <v>88</v>
      </c>
      <c r="M431" t="s">
        <v>118</v>
      </c>
      <c r="N431" t="s">
        <v>123</v>
      </c>
    </row>
    <row r="432" spans="1:14">
      <c r="A432" s="20">
        <v>45448</v>
      </c>
      <c r="B432" t="s">
        <v>105</v>
      </c>
      <c r="C432" t="s">
        <v>96</v>
      </c>
      <c r="D432" t="s">
        <v>110</v>
      </c>
      <c r="E432">
        <v>37</v>
      </c>
      <c r="F432">
        <v>53</v>
      </c>
      <c r="G432">
        <v>90</v>
      </c>
      <c r="H432">
        <v>50</v>
      </c>
      <c r="I432" s="11">
        <v>4770</v>
      </c>
      <c r="J432" s="11">
        <v>2650</v>
      </c>
      <c r="K432" s="11">
        <v>2120</v>
      </c>
      <c r="L432" t="s">
        <v>83</v>
      </c>
      <c r="M432" t="s">
        <v>116</v>
      </c>
      <c r="N432" t="s">
        <v>125</v>
      </c>
    </row>
    <row r="433" spans="1:14">
      <c r="A433" s="20">
        <v>45367</v>
      </c>
      <c r="B433" t="s">
        <v>105</v>
      </c>
      <c r="C433" t="s">
        <v>93</v>
      </c>
      <c r="D433" t="s">
        <v>112</v>
      </c>
      <c r="E433">
        <v>38</v>
      </c>
      <c r="F433">
        <v>140</v>
      </c>
      <c r="G433">
        <v>100</v>
      </c>
      <c r="H433">
        <v>55</v>
      </c>
      <c r="I433" s="11">
        <v>14000</v>
      </c>
      <c r="J433" s="11">
        <v>7700</v>
      </c>
      <c r="K433" s="11">
        <v>6300</v>
      </c>
      <c r="L433" t="s">
        <v>80</v>
      </c>
      <c r="M433" t="s">
        <v>115</v>
      </c>
      <c r="N433" t="s">
        <v>125</v>
      </c>
    </row>
    <row r="434" spans="1:14">
      <c r="A434" s="20">
        <v>45652</v>
      </c>
      <c r="B434" t="s">
        <v>105</v>
      </c>
      <c r="C434" t="s">
        <v>96</v>
      </c>
      <c r="D434" t="s">
        <v>110</v>
      </c>
      <c r="E434">
        <v>19</v>
      </c>
      <c r="F434">
        <v>34</v>
      </c>
      <c r="G434">
        <v>90</v>
      </c>
      <c r="H434">
        <v>50</v>
      </c>
      <c r="I434" s="11">
        <v>3060</v>
      </c>
      <c r="J434" s="11">
        <v>1700</v>
      </c>
      <c r="K434" s="11">
        <v>1360</v>
      </c>
      <c r="L434" t="s">
        <v>89</v>
      </c>
      <c r="M434" t="s">
        <v>118</v>
      </c>
      <c r="N434" t="s">
        <v>122</v>
      </c>
    </row>
    <row r="435" spans="1:14">
      <c r="A435" s="20">
        <v>45352</v>
      </c>
      <c r="B435" t="s">
        <v>103</v>
      </c>
      <c r="C435" t="s">
        <v>93</v>
      </c>
      <c r="D435" t="s">
        <v>110</v>
      </c>
      <c r="E435">
        <v>41</v>
      </c>
      <c r="F435">
        <v>173</v>
      </c>
      <c r="G435">
        <v>100</v>
      </c>
      <c r="H435">
        <v>55</v>
      </c>
      <c r="I435" s="11">
        <v>17300</v>
      </c>
      <c r="J435" s="11">
        <v>9515</v>
      </c>
      <c r="K435" s="11">
        <v>7785</v>
      </c>
      <c r="L435" t="s">
        <v>80</v>
      </c>
      <c r="M435" t="s">
        <v>115</v>
      </c>
      <c r="N435" t="s">
        <v>125</v>
      </c>
    </row>
    <row r="436" spans="1:14">
      <c r="A436" s="20">
        <v>45384</v>
      </c>
      <c r="B436" t="s">
        <v>105</v>
      </c>
      <c r="C436" t="s">
        <v>93</v>
      </c>
      <c r="D436" t="s">
        <v>110</v>
      </c>
      <c r="E436">
        <v>39</v>
      </c>
      <c r="F436">
        <v>133</v>
      </c>
      <c r="G436">
        <v>100</v>
      </c>
      <c r="H436">
        <v>55</v>
      </c>
      <c r="I436" s="11">
        <v>13300</v>
      </c>
      <c r="J436" s="11">
        <v>7315</v>
      </c>
      <c r="K436" s="11">
        <v>5985</v>
      </c>
      <c r="L436" t="s">
        <v>81</v>
      </c>
      <c r="M436" t="s">
        <v>116</v>
      </c>
      <c r="N436" t="s">
        <v>125</v>
      </c>
    </row>
    <row r="437" spans="1:14">
      <c r="A437" s="20">
        <v>45468</v>
      </c>
      <c r="B437" t="s">
        <v>103</v>
      </c>
      <c r="C437" t="s">
        <v>96</v>
      </c>
      <c r="D437" t="s">
        <v>110</v>
      </c>
      <c r="E437">
        <v>35</v>
      </c>
      <c r="F437">
        <v>185</v>
      </c>
      <c r="G437">
        <v>90</v>
      </c>
      <c r="H437">
        <v>50</v>
      </c>
      <c r="I437" s="11">
        <v>16650</v>
      </c>
      <c r="J437" s="11">
        <v>9250</v>
      </c>
      <c r="K437" s="11">
        <v>7400</v>
      </c>
      <c r="L437" t="s">
        <v>83</v>
      </c>
      <c r="M437" t="s">
        <v>116</v>
      </c>
      <c r="N437" t="s">
        <v>124</v>
      </c>
    </row>
    <row r="438" spans="1:14">
      <c r="A438" s="20">
        <v>45644</v>
      </c>
      <c r="B438" t="s">
        <v>106</v>
      </c>
      <c r="C438" t="s">
        <v>93</v>
      </c>
      <c r="D438" t="s">
        <v>111</v>
      </c>
      <c r="E438">
        <v>23</v>
      </c>
      <c r="F438">
        <v>51</v>
      </c>
      <c r="G438">
        <v>100</v>
      </c>
      <c r="H438">
        <v>55</v>
      </c>
      <c r="I438" s="11">
        <v>5100</v>
      </c>
      <c r="J438" s="11">
        <v>2805</v>
      </c>
      <c r="K438" s="11">
        <v>2295</v>
      </c>
      <c r="L438" t="s">
        <v>89</v>
      </c>
      <c r="M438" t="s">
        <v>118</v>
      </c>
      <c r="N438" t="s">
        <v>122</v>
      </c>
    </row>
    <row r="439" spans="1:14">
      <c r="A439" s="20">
        <v>45524</v>
      </c>
      <c r="B439" t="s">
        <v>103</v>
      </c>
      <c r="C439" t="s">
        <v>93</v>
      </c>
      <c r="D439" t="s">
        <v>111</v>
      </c>
      <c r="E439">
        <v>28</v>
      </c>
      <c r="F439">
        <v>50</v>
      </c>
      <c r="G439">
        <v>100</v>
      </c>
      <c r="H439">
        <v>55</v>
      </c>
      <c r="I439" s="11">
        <v>5000</v>
      </c>
      <c r="J439" s="11">
        <v>2750</v>
      </c>
      <c r="K439" s="11">
        <v>2250</v>
      </c>
      <c r="L439" t="s">
        <v>85</v>
      </c>
      <c r="M439" t="s">
        <v>117</v>
      </c>
      <c r="N439" t="s">
        <v>123</v>
      </c>
    </row>
    <row r="440" spans="1:14">
      <c r="A440" s="20">
        <v>45350</v>
      </c>
      <c r="B440" t="s">
        <v>106</v>
      </c>
      <c r="C440" t="s">
        <v>96</v>
      </c>
      <c r="D440" t="s">
        <v>110</v>
      </c>
      <c r="E440">
        <v>28</v>
      </c>
      <c r="F440">
        <v>40</v>
      </c>
      <c r="G440">
        <v>90</v>
      </c>
      <c r="H440">
        <v>50</v>
      </c>
      <c r="I440" s="11">
        <v>3600</v>
      </c>
      <c r="J440" s="11">
        <v>2000</v>
      </c>
      <c r="K440" s="11">
        <v>1600</v>
      </c>
      <c r="L440" t="s">
        <v>79</v>
      </c>
      <c r="M440" t="s">
        <v>115</v>
      </c>
      <c r="N440" t="s">
        <v>123</v>
      </c>
    </row>
    <row r="441" spans="1:14">
      <c r="A441" s="20">
        <v>45624</v>
      </c>
      <c r="B441" t="s">
        <v>103</v>
      </c>
      <c r="C441" t="s">
        <v>97</v>
      </c>
      <c r="D441" t="s">
        <v>110</v>
      </c>
      <c r="E441">
        <v>25</v>
      </c>
      <c r="F441">
        <v>28</v>
      </c>
      <c r="G441">
        <v>130</v>
      </c>
      <c r="H441">
        <v>70</v>
      </c>
      <c r="I441" s="11">
        <v>3640</v>
      </c>
      <c r="J441" s="11">
        <v>1960</v>
      </c>
      <c r="K441" s="11">
        <v>1680</v>
      </c>
      <c r="L441" t="s">
        <v>88</v>
      </c>
      <c r="M441" t="s">
        <v>118</v>
      </c>
      <c r="N441" t="s">
        <v>123</v>
      </c>
    </row>
    <row r="442" spans="1:14">
      <c r="A442" s="20">
        <v>45400</v>
      </c>
      <c r="B442" t="s">
        <v>103</v>
      </c>
      <c r="C442" t="s">
        <v>96</v>
      </c>
      <c r="D442" t="s">
        <v>111</v>
      </c>
      <c r="E442">
        <v>41</v>
      </c>
      <c r="F442">
        <v>152</v>
      </c>
      <c r="G442">
        <v>90</v>
      </c>
      <c r="H442">
        <v>50</v>
      </c>
      <c r="I442" s="11">
        <v>13680</v>
      </c>
      <c r="J442" s="11">
        <v>7600</v>
      </c>
      <c r="K442" s="11">
        <v>6080</v>
      </c>
      <c r="L442" t="s">
        <v>81</v>
      </c>
      <c r="M442" t="s">
        <v>116</v>
      </c>
      <c r="N442" t="s">
        <v>125</v>
      </c>
    </row>
    <row r="443" spans="1:14">
      <c r="A443" s="20">
        <v>45299</v>
      </c>
      <c r="B443" t="s">
        <v>103</v>
      </c>
      <c r="C443" t="s">
        <v>98</v>
      </c>
      <c r="D443" t="s">
        <v>111</v>
      </c>
      <c r="E443">
        <v>24</v>
      </c>
      <c r="F443">
        <v>56</v>
      </c>
      <c r="G443">
        <v>100</v>
      </c>
      <c r="H443">
        <v>55</v>
      </c>
      <c r="I443" s="11">
        <v>5600</v>
      </c>
      <c r="J443" s="11">
        <v>3080</v>
      </c>
      <c r="K443" s="11">
        <v>2520</v>
      </c>
      <c r="L443" t="s">
        <v>78</v>
      </c>
      <c r="M443" t="s">
        <v>115</v>
      </c>
      <c r="N443" t="s">
        <v>122</v>
      </c>
    </row>
    <row r="444" spans="1:14">
      <c r="A444" s="20">
        <v>45468</v>
      </c>
      <c r="B444" t="s">
        <v>105</v>
      </c>
      <c r="C444" t="s">
        <v>96</v>
      </c>
      <c r="D444" t="s">
        <v>110</v>
      </c>
      <c r="E444">
        <v>35</v>
      </c>
      <c r="F444">
        <v>176</v>
      </c>
      <c r="G444">
        <v>90</v>
      </c>
      <c r="H444">
        <v>50</v>
      </c>
      <c r="I444" s="11">
        <v>15840</v>
      </c>
      <c r="J444" s="11">
        <v>8800</v>
      </c>
      <c r="K444" s="11">
        <v>7040</v>
      </c>
      <c r="L444" t="s">
        <v>83</v>
      </c>
      <c r="M444" t="s">
        <v>116</v>
      </c>
      <c r="N444" t="s">
        <v>124</v>
      </c>
    </row>
    <row r="445" spans="1:14">
      <c r="A445" s="20">
        <v>45373</v>
      </c>
      <c r="B445" t="s">
        <v>104</v>
      </c>
      <c r="C445" t="s">
        <v>94</v>
      </c>
      <c r="D445" t="s">
        <v>111</v>
      </c>
      <c r="E445">
        <v>32</v>
      </c>
      <c r="F445">
        <v>162</v>
      </c>
      <c r="G445">
        <v>80</v>
      </c>
      <c r="H445">
        <v>45</v>
      </c>
      <c r="I445" s="11">
        <v>12960</v>
      </c>
      <c r="J445" s="11">
        <v>7290</v>
      </c>
      <c r="K445" s="11">
        <v>5670</v>
      </c>
      <c r="L445" t="s">
        <v>80</v>
      </c>
      <c r="M445" t="s">
        <v>115</v>
      </c>
      <c r="N445" t="s">
        <v>124</v>
      </c>
    </row>
    <row r="446" spans="1:14">
      <c r="A446" s="20">
        <v>45623</v>
      </c>
      <c r="B446" t="s">
        <v>104</v>
      </c>
      <c r="C446" t="s">
        <v>94</v>
      </c>
      <c r="D446" t="s">
        <v>112</v>
      </c>
      <c r="E446">
        <v>26</v>
      </c>
      <c r="F446">
        <v>38</v>
      </c>
      <c r="G446">
        <v>80</v>
      </c>
      <c r="H446">
        <v>45</v>
      </c>
      <c r="I446" s="11">
        <v>3040</v>
      </c>
      <c r="J446" s="11">
        <v>1710</v>
      </c>
      <c r="K446" s="11">
        <v>1330</v>
      </c>
      <c r="L446" t="s">
        <v>88</v>
      </c>
      <c r="M446" t="s">
        <v>118</v>
      </c>
      <c r="N446" t="s">
        <v>123</v>
      </c>
    </row>
    <row r="447" spans="1:14">
      <c r="A447" s="20">
        <v>45493</v>
      </c>
      <c r="B447" t="s">
        <v>104</v>
      </c>
      <c r="C447" t="s">
        <v>93</v>
      </c>
      <c r="D447" t="s">
        <v>110</v>
      </c>
      <c r="E447">
        <v>31</v>
      </c>
      <c r="F447">
        <v>80</v>
      </c>
      <c r="G447">
        <v>100</v>
      </c>
      <c r="H447">
        <v>55</v>
      </c>
      <c r="I447" s="11">
        <v>8000</v>
      </c>
      <c r="J447" s="11">
        <v>4400</v>
      </c>
      <c r="K447" s="11">
        <v>3600</v>
      </c>
      <c r="L447" t="s">
        <v>84</v>
      </c>
      <c r="M447" t="s">
        <v>117</v>
      </c>
      <c r="N447" t="s">
        <v>124</v>
      </c>
    </row>
    <row r="448" spans="1:14">
      <c r="A448" s="20">
        <v>45492</v>
      </c>
      <c r="B448" t="s">
        <v>106</v>
      </c>
      <c r="C448" t="s">
        <v>96</v>
      </c>
      <c r="D448" t="s">
        <v>111</v>
      </c>
      <c r="E448">
        <v>30</v>
      </c>
      <c r="F448">
        <v>56</v>
      </c>
      <c r="G448">
        <v>90</v>
      </c>
      <c r="H448">
        <v>50</v>
      </c>
      <c r="I448" s="11">
        <v>5040</v>
      </c>
      <c r="J448" s="11">
        <v>2800</v>
      </c>
      <c r="K448" s="11">
        <v>2240</v>
      </c>
      <c r="L448" t="s">
        <v>84</v>
      </c>
      <c r="M448" t="s">
        <v>117</v>
      </c>
      <c r="N448" t="s">
        <v>123</v>
      </c>
    </row>
    <row r="449" spans="1:14">
      <c r="A449" s="20">
        <v>45293</v>
      </c>
      <c r="B449" t="s">
        <v>106</v>
      </c>
      <c r="C449" t="s">
        <v>96</v>
      </c>
      <c r="D449" t="s">
        <v>112</v>
      </c>
      <c r="E449">
        <v>18</v>
      </c>
      <c r="F449">
        <v>11</v>
      </c>
      <c r="G449">
        <v>90</v>
      </c>
      <c r="H449">
        <v>50</v>
      </c>
      <c r="I449" s="11">
        <v>990</v>
      </c>
      <c r="J449" s="11">
        <v>550</v>
      </c>
      <c r="K449" s="11">
        <v>440</v>
      </c>
      <c r="L449" t="s">
        <v>78</v>
      </c>
      <c r="M449" t="s">
        <v>115</v>
      </c>
      <c r="N449" t="s">
        <v>122</v>
      </c>
    </row>
    <row r="450" spans="1:14">
      <c r="A450" s="20">
        <v>45559</v>
      </c>
      <c r="B450" t="s">
        <v>104</v>
      </c>
      <c r="C450" t="s">
        <v>93</v>
      </c>
      <c r="D450" t="s">
        <v>111</v>
      </c>
      <c r="E450">
        <v>26</v>
      </c>
      <c r="F450">
        <v>91</v>
      </c>
      <c r="G450">
        <v>100</v>
      </c>
      <c r="H450">
        <v>55</v>
      </c>
      <c r="I450" s="11">
        <v>9100</v>
      </c>
      <c r="J450" s="11">
        <v>5005</v>
      </c>
      <c r="K450" s="11">
        <v>4095</v>
      </c>
      <c r="L450" t="s">
        <v>86</v>
      </c>
      <c r="M450" t="s">
        <v>117</v>
      </c>
      <c r="N450" t="s">
        <v>123</v>
      </c>
    </row>
    <row r="451" spans="1:14">
      <c r="A451" s="20">
        <v>45418</v>
      </c>
      <c r="B451" t="s">
        <v>105</v>
      </c>
      <c r="C451" t="s">
        <v>93</v>
      </c>
      <c r="D451" t="s">
        <v>111</v>
      </c>
      <c r="E451">
        <v>36</v>
      </c>
      <c r="F451">
        <v>77</v>
      </c>
      <c r="G451">
        <v>100</v>
      </c>
      <c r="H451">
        <v>55</v>
      </c>
      <c r="I451" s="11">
        <v>7700</v>
      </c>
      <c r="J451" s="11">
        <v>4235</v>
      </c>
      <c r="K451" s="11">
        <v>3465</v>
      </c>
      <c r="L451" t="s">
        <v>82</v>
      </c>
      <c r="M451" t="s">
        <v>116</v>
      </c>
      <c r="N451" t="s">
        <v>125</v>
      </c>
    </row>
    <row r="452" spans="1:14">
      <c r="A452" s="20">
        <v>45398</v>
      </c>
      <c r="B452" t="s">
        <v>105</v>
      </c>
      <c r="C452" t="s">
        <v>93</v>
      </c>
      <c r="D452" t="s">
        <v>110</v>
      </c>
      <c r="E452">
        <v>33</v>
      </c>
      <c r="F452">
        <v>171</v>
      </c>
      <c r="G452">
        <v>100</v>
      </c>
      <c r="H452">
        <v>55</v>
      </c>
      <c r="I452" s="11">
        <v>17100</v>
      </c>
      <c r="J452" s="11">
        <v>9405</v>
      </c>
      <c r="K452" s="11">
        <v>7695</v>
      </c>
      <c r="L452" t="s">
        <v>81</v>
      </c>
      <c r="M452" t="s">
        <v>116</v>
      </c>
      <c r="N452" t="s">
        <v>124</v>
      </c>
    </row>
    <row r="453" spans="1:14">
      <c r="A453" s="20">
        <v>45579</v>
      </c>
      <c r="B453" t="s">
        <v>106</v>
      </c>
      <c r="C453" t="s">
        <v>98</v>
      </c>
      <c r="D453" t="s">
        <v>112</v>
      </c>
      <c r="E453">
        <v>32</v>
      </c>
      <c r="F453">
        <v>92</v>
      </c>
      <c r="G453">
        <v>100</v>
      </c>
      <c r="H453">
        <v>55</v>
      </c>
      <c r="I453" s="11">
        <v>9200</v>
      </c>
      <c r="J453" s="11">
        <v>5060</v>
      </c>
      <c r="K453" s="11">
        <v>4140</v>
      </c>
      <c r="L453" t="s">
        <v>87</v>
      </c>
      <c r="M453" t="s">
        <v>118</v>
      </c>
      <c r="N453" t="s">
        <v>124</v>
      </c>
    </row>
    <row r="454" spans="1:14">
      <c r="A454" s="20">
        <v>45651</v>
      </c>
      <c r="B454" t="s">
        <v>103</v>
      </c>
      <c r="C454" t="s">
        <v>98</v>
      </c>
      <c r="D454" t="s">
        <v>110</v>
      </c>
      <c r="E454">
        <v>18</v>
      </c>
      <c r="F454">
        <v>45</v>
      </c>
      <c r="G454">
        <v>100</v>
      </c>
      <c r="H454">
        <v>55</v>
      </c>
      <c r="I454" s="11">
        <v>4500</v>
      </c>
      <c r="J454" s="11">
        <v>2475</v>
      </c>
      <c r="K454" s="11">
        <v>2025</v>
      </c>
      <c r="L454" t="s">
        <v>89</v>
      </c>
      <c r="M454" t="s">
        <v>118</v>
      </c>
      <c r="N454" t="s">
        <v>122</v>
      </c>
    </row>
    <row r="455" spans="1:14">
      <c r="A455" s="20">
        <v>45458</v>
      </c>
      <c r="B455" t="s">
        <v>103</v>
      </c>
      <c r="C455" t="s">
        <v>96</v>
      </c>
      <c r="D455" t="s">
        <v>111</v>
      </c>
      <c r="E455">
        <v>32</v>
      </c>
      <c r="F455">
        <v>105</v>
      </c>
      <c r="G455">
        <v>90</v>
      </c>
      <c r="H455">
        <v>50</v>
      </c>
      <c r="I455" s="11">
        <v>9450</v>
      </c>
      <c r="J455" s="11">
        <v>5250</v>
      </c>
      <c r="K455" s="11">
        <v>4200</v>
      </c>
      <c r="L455" t="s">
        <v>83</v>
      </c>
      <c r="M455" t="s">
        <v>116</v>
      </c>
      <c r="N455" t="s">
        <v>124</v>
      </c>
    </row>
    <row r="456" spans="1:14">
      <c r="A456" s="20">
        <v>45484</v>
      </c>
      <c r="B456" t="s">
        <v>103</v>
      </c>
      <c r="C456" t="s">
        <v>97</v>
      </c>
      <c r="D456" t="s">
        <v>111</v>
      </c>
      <c r="E456">
        <v>28</v>
      </c>
      <c r="F456">
        <v>47</v>
      </c>
      <c r="G456">
        <v>130</v>
      </c>
      <c r="H456">
        <v>70</v>
      </c>
      <c r="I456" s="11">
        <v>6110</v>
      </c>
      <c r="J456" s="11">
        <v>3290</v>
      </c>
      <c r="K456" s="11">
        <v>2820</v>
      </c>
      <c r="L456" t="s">
        <v>84</v>
      </c>
      <c r="M456" t="s">
        <v>117</v>
      </c>
      <c r="N456" t="s">
        <v>123</v>
      </c>
    </row>
    <row r="457" spans="1:14">
      <c r="A457" s="20">
        <v>45417</v>
      </c>
      <c r="B457" t="s">
        <v>103</v>
      </c>
      <c r="C457" t="s">
        <v>96</v>
      </c>
      <c r="D457" t="s">
        <v>111</v>
      </c>
      <c r="E457">
        <v>33</v>
      </c>
      <c r="F457">
        <v>185</v>
      </c>
      <c r="G457">
        <v>90</v>
      </c>
      <c r="H457">
        <v>50</v>
      </c>
      <c r="I457" s="11">
        <v>16650</v>
      </c>
      <c r="J457" s="11">
        <v>9250</v>
      </c>
      <c r="K457" s="11">
        <v>7400</v>
      </c>
      <c r="L457" t="s">
        <v>82</v>
      </c>
      <c r="M457" t="s">
        <v>116</v>
      </c>
      <c r="N457" t="s">
        <v>124</v>
      </c>
    </row>
    <row r="458" spans="1:14">
      <c r="A458" s="20">
        <v>45467</v>
      </c>
      <c r="B458" t="s">
        <v>106</v>
      </c>
      <c r="C458" t="s">
        <v>94</v>
      </c>
      <c r="D458" t="s">
        <v>110</v>
      </c>
      <c r="E458">
        <v>32</v>
      </c>
      <c r="F458">
        <v>181</v>
      </c>
      <c r="G458">
        <v>80</v>
      </c>
      <c r="H458">
        <v>45</v>
      </c>
      <c r="I458" s="11">
        <v>14480</v>
      </c>
      <c r="J458" s="11">
        <v>8145</v>
      </c>
      <c r="K458" s="11">
        <v>6335</v>
      </c>
      <c r="L458" t="s">
        <v>83</v>
      </c>
      <c r="M458" t="s">
        <v>116</v>
      </c>
      <c r="N458" t="s">
        <v>124</v>
      </c>
    </row>
    <row r="459" spans="1:14">
      <c r="A459" s="20">
        <v>45656</v>
      </c>
      <c r="B459" t="s">
        <v>103</v>
      </c>
      <c r="C459" t="s">
        <v>97</v>
      </c>
      <c r="D459" t="s">
        <v>112</v>
      </c>
      <c r="E459">
        <v>21</v>
      </c>
      <c r="F459">
        <v>12</v>
      </c>
      <c r="G459">
        <v>130</v>
      </c>
      <c r="H459">
        <v>70</v>
      </c>
      <c r="I459" s="11">
        <v>1560</v>
      </c>
      <c r="J459" s="11">
        <v>840</v>
      </c>
      <c r="K459" s="11">
        <v>720</v>
      </c>
      <c r="L459" t="s">
        <v>89</v>
      </c>
      <c r="M459" t="s">
        <v>118</v>
      </c>
      <c r="N459" t="s">
        <v>122</v>
      </c>
    </row>
    <row r="460" spans="1:14">
      <c r="A460" s="20">
        <v>45445</v>
      </c>
      <c r="B460" t="s">
        <v>103</v>
      </c>
      <c r="C460" t="s">
        <v>94</v>
      </c>
      <c r="D460" t="s">
        <v>110</v>
      </c>
      <c r="E460">
        <v>33</v>
      </c>
      <c r="F460">
        <v>100</v>
      </c>
      <c r="G460">
        <v>80</v>
      </c>
      <c r="H460">
        <v>45</v>
      </c>
      <c r="I460" s="11">
        <v>8000</v>
      </c>
      <c r="J460" s="11">
        <v>4500</v>
      </c>
      <c r="K460" s="11">
        <v>3500</v>
      </c>
      <c r="L460" t="s">
        <v>83</v>
      </c>
      <c r="M460" t="s">
        <v>116</v>
      </c>
      <c r="N460" t="s">
        <v>124</v>
      </c>
    </row>
    <row r="461" spans="1:14">
      <c r="A461" s="20">
        <v>45553</v>
      </c>
      <c r="B461" t="s">
        <v>104</v>
      </c>
      <c r="C461" t="s">
        <v>95</v>
      </c>
      <c r="D461" t="s">
        <v>110</v>
      </c>
      <c r="E461">
        <v>30</v>
      </c>
      <c r="F461">
        <v>66</v>
      </c>
      <c r="G461">
        <v>110</v>
      </c>
      <c r="H461">
        <v>60</v>
      </c>
      <c r="I461" s="11">
        <v>7260</v>
      </c>
      <c r="J461" s="11">
        <v>3960</v>
      </c>
      <c r="K461" s="11">
        <v>3300</v>
      </c>
      <c r="L461" t="s">
        <v>86</v>
      </c>
      <c r="M461" t="s">
        <v>117</v>
      </c>
      <c r="N461" t="s">
        <v>123</v>
      </c>
    </row>
    <row r="462" spans="1:14">
      <c r="A462" s="20">
        <v>45326</v>
      </c>
      <c r="B462" t="s">
        <v>105</v>
      </c>
      <c r="C462" t="s">
        <v>98</v>
      </c>
      <c r="D462" t="s">
        <v>111</v>
      </c>
      <c r="E462">
        <v>29</v>
      </c>
      <c r="F462">
        <v>58</v>
      </c>
      <c r="G462">
        <v>100</v>
      </c>
      <c r="H462">
        <v>55</v>
      </c>
      <c r="I462" s="11">
        <v>5800</v>
      </c>
      <c r="J462" s="11">
        <v>3190</v>
      </c>
      <c r="K462" s="11">
        <v>2610</v>
      </c>
      <c r="L462" t="s">
        <v>79</v>
      </c>
      <c r="M462" t="s">
        <v>115</v>
      </c>
      <c r="N462" t="s">
        <v>123</v>
      </c>
    </row>
    <row r="463" spans="1:14">
      <c r="A463" s="20">
        <v>45400</v>
      </c>
      <c r="B463" t="s">
        <v>105</v>
      </c>
      <c r="C463" t="s">
        <v>97</v>
      </c>
      <c r="D463" t="s">
        <v>112</v>
      </c>
      <c r="E463">
        <v>33</v>
      </c>
      <c r="F463">
        <v>98</v>
      </c>
      <c r="G463">
        <v>130</v>
      </c>
      <c r="H463">
        <v>70</v>
      </c>
      <c r="I463" s="11">
        <v>12740</v>
      </c>
      <c r="J463" s="11">
        <v>6860</v>
      </c>
      <c r="K463" s="11">
        <v>5880</v>
      </c>
      <c r="L463" t="s">
        <v>81</v>
      </c>
      <c r="M463" t="s">
        <v>116</v>
      </c>
      <c r="N463" t="s">
        <v>124</v>
      </c>
    </row>
    <row r="464" spans="1:14">
      <c r="A464" s="20">
        <v>45656</v>
      </c>
      <c r="B464" t="s">
        <v>106</v>
      </c>
      <c r="C464" t="s">
        <v>95</v>
      </c>
      <c r="D464" t="s">
        <v>110</v>
      </c>
      <c r="E464">
        <v>19</v>
      </c>
      <c r="F464">
        <v>51</v>
      </c>
      <c r="G464">
        <v>110</v>
      </c>
      <c r="H464">
        <v>60</v>
      </c>
      <c r="I464" s="11">
        <v>5610</v>
      </c>
      <c r="J464" s="11">
        <v>3060</v>
      </c>
      <c r="K464" s="11">
        <v>2550</v>
      </c>
      <c r="L464" t="s">
        <v>89</v>
      </c>
      <c r="M464" t="s">
        <v>118</v>
      </c>
      <c r="N464" t="s">
        <v>122</v>
      </c>
    </row>
    <row r="465" spans="1:14">
      <c r="A465" s="20">
        <v>45400</v>
      </c>
      <c r="B465" t="s">
        <v>103</v>
      </c>
      <c r="C465" t="s">
        <v>94</v>
      </c>
      <c r="D465" t="s">
        <v>110</v>
      </c>
      <c r="E465">
        <v>38</v>
      </c>
      <c r="F465">
        <v>70</v>
      </c>
      <c r="G465">
        <v>80</v>
      </c>
      <c r="H465">
        <v>45</v>
      </c>
      <c r="I465" s="11">
        <v>5600</v>
      </c>
      <c r="J465" s="11">
        <v>3150</v>
      </c>
      <c r="K465" s="11">
        <v>2450</v>
      </c>
      <c r="L465" t="s">
        <v>81</v>
      </c>
      <c r="M465" t="s">
        <v>116</v>
      </c>
      <c r="N465" t="s">
        <v>125</v>
      </c>
    </row>
    <row r="466" spans="1:14">
      <c r="A466" s="20">
        <v>45615</v>
      </c>
      <c r="B466" t="s">
        <v>104</v>
      </c>
      <c r="C466" t="s">
        <v>93</v>
      </c>
      <c r="D466" t="s">
        <v>110</v>
      </c>
      <c r="E466">
        <v>19</v>
      </c>
      <c r="F466">
        <v>44</v>
      </c>
      <c r="G466">
        <v>100</v>
      </c>
      <c r="H466">
        <v>55</v>
      </c>
      <c r="I466" s="11">
        <v>4400</v>
      </c>
      <c r="J466" s="11">
        <v>2420</v>
      </c>
      <c r="K466" s="11">
        <v>1980</v>
      </c>
      <c r="L466" t="s">
        <v>88</v>
      </c>
      <c r="M466" t="s">
        <v>118</v>
      </c>
      <c r="N466" t="s">
        <v>122</v>
      </c>
    </row>
    <row r="467" spans="1:14">
      <c r="A467" s="20">
        <v>45430</v>
      </c>
      <c r="B467" t="s">
        <v>105</v>
      </c>
      <c r="C467" t="s">
        <v>94</v>
      </c>
      <c r="D467" t="s">
        <v>111</v>
      </c>
      <c r="E467">
        <v>39</v>
      </c>
      <c r="F467">
        <v>131</v>
      </c>
      <c r="G467">
        <v>80</v>
      </c>
      <c r="H467">
        <v>45</v>
      </c>
      <c r="I467" s="11">
        <v>10480</v>
      </c>
      <c r="J467" s="11">
        <v>5895</v>
      </c>
      <c r="K467" s="11">
        <v>4585</v>
      </c>
      <c r="L467" t="s">
        <v>82</v>
      </c>
      <c r="M467" t="s">
        <v>116</v>
      </c>
      <c r="N467" t="s">
        <v>125</v>
      </c>
    </row>
    <row r="468" spans="1:14">
      <c r="A468" s="20">
        <v>45505</v>
      </c>
      <c r="B468" t="s">
        <v>105</v>
      </c>
      <c r="C468" t="s">
        <v>96</v>
      </c>
      <c r="D468" t="s">
        <v>110</v>
      </c>
      <c r="E468">
        <v>30</v>
      </c>
      <c r="F468">
        <v>37</v>
      </c>
      <c r="G468">
        <v>90</v>
      </c>
      <c r="H468">
        <v>50</v>
      </c>
      <c r="I468" s="11">
        <v>3330</v>
      </c>
      <c r="J468" s="11">
        <v>1850</v>
      </c>
      <c r="K468" s="11">
        <v>1480</v>
      </c>
      <c r="L468" t="s">
        <v>85</v>
      </c>
      <c r="M468" t="s">
        <v>117</v>
      </c>
      <c r="N468" t="s">
        <v>123</v>
      </c>
    </row>
    <row r="469" spans="1:14">
      <c r="A469" s="20">
        <v>45436</v>
      </c>
      <c r="B469" t="s">
        <v>106</v>
      </c>
      <c r="C469" t="s">
        <v>95</v>
      </c>
      <c r="D469" t="s">
        <v>110</v>
      </c>
      <c r="E469">
        <v>36</v>
      </c>
      <c r="F469">
        <v>140</v>
      </c>
      <c r="G469">
        <v>110</v>
      </c>
      <c r="H469">
        <v>60</v>
      </c>
      <c r="I469" s="11">
        <v>15400</v>
      </c>
      <c r="J469" s="11">
        <v>8400</v>
      </c>
      <c r="K469" s="11">
        <v>7000</v>
      </c>
      <c r="L469" t="s">
        <v>82</v>
      </c>
      <c r="M469" t="s">
        <v>116</v>
      </c>
      <c r="N469" t="s">
        <v>125</v>
      </c>
    </row>
    <row r="470" spans="1:14">
      <c r="A470" s="20">
        <v>45645</v>
      </c>
      <c r="B470" t="s">
        <v>104</v>
      </c>
      <c r="C470" t="s">
        <v>95</v>
      </c>
      <c r="D470" t="s">
        <v>112</v>
      </c>
      <c r="E470">
        <v>23</v>
      </c>
      <c r="F470">
        <v>30</v>
      </c>
      <c r="G470">
        <v>110</v>
      </c>
      <c r="H470">
        <v>60</v>
      </c>
      <c r="I470" s="11">
        <v>3300</v>
      </c>
      <c r="J470" s="11">
        <v>1800</v>
      </c>
      <c r="K470" s="11">
        <v>1500</v>
      </c>
      <c r="L470" t="s">
        <v>89</v>
      </c>
      <c r="M470" t="s">
        <v>118</v>
      </c>
      <c r="N470" t="s">
        <v>122</v>
      </c>
    </row>
    <row r="471" spans="1:14">
      <c r="A471" s="20">
        <v>45296</v>
      </c>
      <c r="B471" t="s">
        <v>103</v>
      </c>
      <c r="C471" t="s">
        <v>95</v>
      </c>
      <c r="D471" t="s">
        <v>112</v>
      </c>
      <c r="E471">
        <v>23</v>
      </c>
      <c r="F471">
        <v>21</v>
      </c>
      <c r="G471">
        <v>110</v>
      </c>
      <c r="H471">
        <v>60</v>
      </c>
      <c r="I471" s="11">
        <v>2310</v>
      </c>
      <c r="J471" s="11">
        <v>1260</v>
      </c>
      <c r="K471" s="11">
        <v>1050</v>
      </c>
      <c r="L471" t="s">
        <v>78</v>
      </c>
      <c r="M471" t="s">
        <v>115</v>
      </c>
      <c r="N471" t="s">
        <v>122</v>
      </c>
    </row>
    <row r="472" spans="1:14">
      <c r="A472" s="20">
        <v>45308</v>
      </c>
      <c r="B472" t="s">
        <v>104</v>
      </c>
      <c r="C472" t="s">
        <v>97</v>
      </c>
      <c r="D472" t="s">
        <v>110</v>
      </c>
      <c r="E472">
        <v>23</v>
      </c>
      <c r="F472">
        <v>41</v>
      </c>
      <c r="G472">
        <v>130</v>
      </c>
      <c r="H472">
        <v>70</v>
      </c>
      <c r="I472" s="11">
        <v>5330</v>
      </c>
      <c r="J472" s="11">
        <v>2870</v>
      </c>
      <c r="K472" s="11">
        <v>2460</v>
      </c>
      <c r="L472" t="s">
        <v>78</v>
      </c>
      <c r="M472" t="s">
        <v>115</v>
      </c>
      <c r="N472" t="s">
        <v>122</v>
      </c>
    </row>
    <row r="473" spans="1:14">
      <c r="A473" s="20">
        <v>45474</v>
      </c>
      <c r="B473" t="s">
        <v>103</v>
      </c>
      <c r="C473" t="s">
        <v>93</v>
      </c>
      <c r="D473" t="s">
        <v>110</v>
      </c>
      <c r="E473">
        <v>34</v>
      </c>
      <c r="F473">
        <v>52</v>
      </c>
      <c r="G473">
        <v>100</v>
      </c>
      <c r="H473">
        <v>55</v>
      </c>
      <c r="I473" s="11">
        <v>5200</v>
      </c>
      <c r="J473" s="11">
        <v>2860</v>
      </c>
      <c r="K473" s="11">
        <v>2340</v>
      </c>
      <c r="L473" t="s">
        <v>84</v>
      </c>
      <c r="M473" t="s">
        <v>117</v>
      </c>
      <c r="N473" t="s">
        <v>124</v>
      </c>
    </row>
    <row r="474" spans="1:14">
      <c r="A474" s="20">
        <v>45533</v>
      </c>
      <c r="B474" t="s">
        <v>106</v>
      </c>
      <c r="C474" t="s">
        <v>95</v>
      </c>
      <c r="D474" t="s">
        <v>110</v>
      </c>
      <c r="E474">
        <v>29</v>
      </c>
      <c r="F474">
        <v>80</v>
      </c>
      <c r="G474">
        <v>110</v>
      </c>
      <c r="H474">
        <v>60</v>
      </c>
      <c r="I474" s="11">
        <v>8800</v>
      </c>
      <c r="J474" s="11">
        <v>4800</v>
      </c>
      <c r="K474" s="11">
        <v>4000</v>
      </c>
      <c r="L474" t="s">
        <v>85</v>
      </c>
      <c r="M474" t="s">
        <v>117</v>
      </c>
      <c r="N474" t="s">
        <v>123</v>
      </c>
    </row>
    <row r="475" spans="1:14">
      <c r="A475" s="20">
        <v>45656</v>
      </c>
      <c r="B475" t="s">
        <v>106</v>
      </c>
      <c r="C475" t="s">
        <v>93</v>
      </c>
      <c r="D475" t="s">
        <v>110</v>
      </c>
      <c r="E475">
        <v>18</v>
      </c>
      <c r="F475">
        <v>54</v>
      </c>
      <c r="G475">
        <v>100</v>
      </c>
      <c r="H475">
        <v>55</v>
      </c>
      <c r="I475" s="11">
        <v>5400</v>
      </c>
      <c r="J475" s="11">
        <v>2970</v>
      </c>
      <c r="K475" s="11">
        <v>2430</v>
      </c>
      <c r="L475" t="s">
        <v>89</v>
      </c>
      <c r="M475" t="s">
        <v>118</v>
      </c>
      <c r="N475" t="s">
        <v>122</v>
      </c>
    </row>
    <row r="476" spans="1:14">
      <c r="A476" s="20">
        <v>45628</v>
      </c>
      <c r="B476" t="s">
        <v>106</v>
      </c>
      <c r="C476" t="s">
        <v>98</v>
      </c>
      <c r="D476" t="s">
        <v>110</v>
      </c>
      <c r="E476">
        <v>20</v>
      </c>
      <c r="F476">
        <v>47</v>
      </c>
      <c r="G476">
        <v>100</v>
      </c>
      <c r="H476">
        <v>55</v>
      </c>
      <c r="I476" s="11">
        <v>4700</v>
      </c>
      <c r="J476" s="11">
        <v>2585</v>
      </c>
      <c r="K476" s="11">
        <v>2115</v>
      </c>
      <c r="L476" t="s">
        <v>89</v>
      </c>
      <c r="M476" t="s">
        <v>118</v>
      </c>
      <c r="N476" t="s">
        <v>122</v>
      </c>
    </row>
    <row r="477" spans="1:14">
      <c r="A477" s="20">
        <v>45616</v>
      </c>
      <c r="B477" t="s">
        <v>105</v>
      </c>
      <c r="C477" t="s">
        <v>96</v>
      </c>
      <c r="D477" t="s">
        <v>112</v>
      </c>
      <c r="E477">
        <v>19</v>
      </c>
      <c r="F477">
        <v>25</v>
      </c>
      <c r="G477">
        <v>90</v>
      </c>
      <c r="H477">
        <v>50</v>
      </c>
      <c r="I477" s="11">
        <v>2250</v>
      </c>
      <c r="J477" s="11">
        <v>1250</v>
      </c>
      <c r="K477" s="11">
        <v>1000</v>
      </c>
      <c r="L477" t="s">
        <v>88</v>
      </c>
      <c r="M477" t="s">
        <v>118</v>
      </c>
      <c r="N477" t="s">
        <v>122</v>
      </c>
    </row>
    <row r="478" spans="1:14">
      <c r="A478" s="20">
        <v>45313</v>
      </c>
      <c r="B478" t="s">
        <v>105</v>
      </c>
      <c r="C478" t="s">
        <v>95</v>
      </c>
      <c r="D478" t="s">
        <v>111</v>
      </c>
      <c r="E478">
        <v>22</v>
      </c>
      <c r="F478">
        <v>51</v>
      </c>
      <c r="G478">
        <v>110</v>
      </c>
      <c r="H478">
        <v>60</v>
      </c>
      <c r="I478" s="11">
        <v>5610</v>
      </c>
      <c r="J478" s="11">
        <v>3060</v>
      </c>
      <c r="K478" s="11">
        <v>2550</v>
      </c>
      <c r="L478" t="s">
        <v>78</v>
      </c>
      <c r="M478" t="s">
        <v>115</v>
      </c>
      <c r="N478" t="s">
        <v>122</v>
      </c>
    </row>
    <row r="479" spans="1:14">
      <c r="A479" s="20">
        <v>45495</v>
      </c>
      <c r="B479" t="s">
        <v>103</v>
      </c>
      <c r="C479" t="s">
        <v>98</v>
      </c>
      <c r="D479" t="s">
        <v>110</v>
      </c>
      <c r="E479">
        <v>28</v>
      </c>
      <c r="F479">
        <v>86</v>
      </c>
      <c r="G479">
        <v>100</v>
      </c>
      <c r="H479">
        <v>55</v>
      </c>
      <c r="I479" s="11">
        <v>8600</v>
      </c>
      <c r="J479" s="11">
        <v>4730</v>
      </c>
      <c r="K479" s="11">
        <v>3870</v>
      </c>
      <c r="L479" t="s">
        <v>84</v>
      </c>
      <c r="M479" t="s">
        <v>117</v>
      </c>
      <c r="N479" t="s">
        <v>123</v>
      </c>
    </row>
    <row r="480" spans="1:14">
      <c r="A480" s="20">
        <v>45310</v>
      </c>
      <c r="B480" t="s">
        <v>106</v>
      </c>
      <c r="C480" t="s">
        <v>94</v>
      </c>
      <c r="D480" t="s">
        <v>110</v>
      </c>
      <c r="E480">
        <v>24</v>
      </c>
      <c r="F480">
        <v>39</v>
      </c>
      <c r="G480">
        <v>80</v>
      </c>
      <c r="H480">
        <v>45</v>
      </c>
      <c r="I480" s="11">
        <v>3120</v>
      </c>
      <c r="J480" s="11">
        <v>1755</v>
      </c>
      <c r="K480" s="11">
        <v>1365</v>
      </c>
      <c r="L480" t="s">
        <v>78</v>
      </c>
      <c r="M480" t="s">
        <v>115</v>
      </c>
      <c r="N480" t="s">
        <v>122</v>
      </c>
    </row>
    <row r="481" spans="1:14">
      <c r="A481" s="20">
        <v>45358</v>
      </c>
      <c r="B481" t="s">
        <v>106</v>
      </c>
      <c r="C481" t="s">
        <v>95</v>
      </c>
      <c r="D481" t="s">
        <v>111</v>
      </c>
      <c r="E481">
        <v>39</v>
      </c>
      <c r="F481">
        <v>86</v>
      </c>
      <c r="G481">
        <v>110</v>
      </c>
      <c r="H481">
        <v>60</v>
      </c>
      <c r="I481" s="11">
        <v>9460</v>
      </c>
      <c r="J481" s="11">
        <v>5160</v>
      </c>
      <c r="K481" s="11">
        <v>4300</v>
      </c>
      <c r="L481" t="s">
        <v>80</v>
      </c>
      <c r="M481" t="s">
        <v>115</v>
      </c>
      <c r="N481" t="s">
        <v>125</v>
      </c>
    </row>
    <row r="482" spans="1:14">
      <c r="A482" s="20">
        <v>45427</v>
      </c>
      <c r="B482" t="s">
        <v>105</v>
      </c>
      <c r="C482" t="s">
        <v>95</v>
      </c>
      <c r="D482" t="s">
        <v>111</v>
      </c>
      <c r="E482">
        <v>33</v>
      </c>
      <c r="F482">
        <v>84</v>
      </c>
      <c r="G482">
        <v>110</v>
      </c>
      <c r="H482">
        <v>60</v>
      </c>
      <c r="I482" s="11">
        <v>9240</v>
      </c>
      <c r="J482" s="11">
        <v>5040</v>
      </c>
      <c r="K482" s="11">
        <v>4200</v>
      </c>
      <c r="L482" t="s">
        <v>82</v>
      </c>
      <c r="M482" t="s">
        <v>116</v>
      </c>
      <c r="N482" t="s">
        <v>124</v>
      </c>
    </row>
    <row r="483" spans="1:14">
      <c r="A483" s="20">
        <v>45482</v>
      </c>
      <c r="B483" t="s">
        <v>104</v>
      </c>
      <c r="C483" t="s">
        <v>94</v>
      </c>
      <c r="D483" t="s">
        <v>110</v>
      </c>
      <c r="E483">
        <v>31</v>
      </c>
      <c r="F483">
        <v>33</v>
      </c>
      <c r="G483">
        <v>80</v>
      </c>
      <c r="H483">
        <v>45</v>
      </c>
      <c r="I483" s="11">
        <v>2640</v>
      </c>
      <c r="J483" s="11">
        <v>1485</v>
      </c>
      <c r="K483" s="11">
        <v>1155</v>
      </c>
      <c r="L483" t="s">
        <v>84</v>
      </c>
      <c r="M483" t="s">
        <v>117</v>
      </c>
      <c r="N483" t="s">
        <v>124</v>
      </c>
    </row>
    <row r="484" spans="1:14">
      <c r="A484" s="20">
        <v>45366</v>
      </c>
      <c r="B484" t="s">
        <v>103</v>
      </c>
      <c r="C484" t="s">
        <v>93</v>
      </c>
      <c r="D484" t="s">
        <v>111</v>
      </c>
      <c r="E484">
        <v>34</v>
      </c>
      <c r="F484">
        <v>83</v>
      </c>
      <c r="G484">
        <v>100</v>
      </c>
      <c r="H484">
        <v>55</v>
      </c>
      <c r="I484" s="11">
        <v>8300</v>
      </c>
      <c r="J484" s="11">
        <v>4565</v>
      </c>
      <c r="K484" s="11">
        <v>3735</v>
      </c>
      <c r="L484" t="s">
        <v>80</v>
      </c>
      <c r="M484" t="s">
        <v>115</v>
      </c>
      <c r="N484" t="s">
        <v>124</v>
      </c>
    </row>
    <row r="485" spans="1:14">
      <c r="A485" s="20">
        <v>45414</v>
      </c>
      <c r="B485" t="s">
        <v>105</v>
      </c>
      <c r="C485" t="s">
        <v>98</v>
      </c>
      <c r="D485" t="s">
        <v>110</v>
      </c>
      <c r="E485">
        <v>37</v>
      </c>
      <c r="F485">
        <v>173</v>
      </c>
      <c r="G485">
        <v>100</v>
      </c>
      <c r="H485">
        <v>55</v>
      </c>
      <c r="I485" s="11">
        <v>17300</v>
      </c>
      <c r="J485" s="11">
        <v>9515</v>
      </c>
      <c r="K485" s="11">
        <v>7785</v>
      </c>
      <c r="L485" t="s">
        <v>82</v>
      </c>
      <c r="M485" t="s">
        <v>116</v>
      </c>
      <c r="N485" t="s">
        <v>125</v>
      </c>
    </row>
    <row r="486" spans="1:14">
      <c r="A486" s="20">
        <v>45479</v>
      </c>
      <c r="B486" t="s">
        <v>105</v>
      </c>
      <c r="C486" t="s">
        <v>94</v>
      </c>
      <c r="D486" t="s">
        <v>111</v>
      </c>
      <c r="E486">
        <v>27</v>
      </c>
      <c r="F486">
        <v>60</v>
      </c>
      <c r="G486">
        <v>80</v>
      </c>
      <c r="H486">
        <v>45</v>
      </c>
      <c r="I486" s="11">
        <v>4800</v>
      </c>
      <c r="J486" s="11">
        <v>2700</v>
      </c>
      <c r="K486" s="11">
        <v>2100</v>
      </c>
      <c r="L486" t="s">
        <v>84</v>
      </c>
      <c r="M486" t="s">
        <v>117</v>
      </c>
      <c r="N486" t="s">
        <v>123</v>
      </c>
    </row>
    <row r="487" spans="1:14">
      <c r="A487" s="20">
        <v>45586</v>
      </c>
      <c r="B487" t="s">
        <v>103</v>
      </c>
      <c r="C487" t="s">
        <v>93</v>
      </c>
      <c r="D487" t="s">
        <v>110</v>
      </c>
      <c r="E487">
        <v>31</v>
      </c>
      <c r="F487">
        <v>84</v>
      </c>
      <c r="G487">
        <v>100</v>
      </c>
      <c r="H487">
        <v>55</v>
      </c>
      <c r="I487" s="11">
        <v>8400</v>
      </c>
      <c r="J487" s="11">
        <v>4620</v>
      </c>
      <c r="K487" s="11">
        <v>3780</v>
      </c>
      <c r="L487" t="s">
        <v>87</v>
      </c>
      <c r="M487" t="s">
        <v>118</v>
      </c>
      <c r="N487" t="s">
        <v>124</v>
      </c>
    </row>
    <row r="488" spans="1:14">
      <c r="A488" s="20">
        <v>45512</v>
      </c>
      <c r="B488" t="s">
        <v>106</v>
      </c>
      <c r="C488" t="s">
        <v>96</v>
      </c>
      <c r="D488" t="s">
        <v>111</v>
      </c>
      <c r="E488">
        <v>30</v>
      </c>
      <c r="F488">
        <v>59</v>
      </c>
      <c r="G488">
        <v>90</v>
      </c>
      <c r="H488">
        <v>50</v>
      </c>
      <c r="I488" s="11">
        <v>5310</v>
      </c>
      <c r="J488" s="11">
        <v>2950</v>
      </c>
      <c r="K488" s="11">
        <v>2360</v>
      </c>
      <c r="L488" t="s">
        <v>85</v>
      </c>
      <c r="M488" t="s">
        <v>117</v>
      </c>
      <c r="N488" t="s">
        <v>123</v>
      </c>
    </row>
    <row r="489" spans="1:14">
      <c r="A489" s="20">
        <v>45560</v>
      </c>
      <c r="B489" t="s">
        <v>104</v>
      </c>
      <c r="C489" t="s">
        <v>96</v>
      </c>
      <c r="D489" t="s">
        <v>111</v>
      </c>
      <c r="E489">
        <v>26</v>
      </c>
      <c r="F489">
        <v>60</v>
      </c>
      <c r="G489">
        <v>90</v>
      </c>
      <c r="H489">
        <v>50</v>
      </c>
      <c r="I489" s="11">
        <v>5400</v>
      </c>
      <c r="J489" s="11">
        <v>3000</v>
      </c>
      <c r="K489" s="11">
        <v>2400</v>
      </c>
      <c r="L489" t="s">
        <v>86</v>
      </c>
      <c r="M489" t="s">
        <v>117</v>
      </c>
      <c r="N489" t="s">
        <v>123</v>
      </c>
    </row>
    <row r="490" spans="1:14">
      <c r="A490" s="20">
        <v>45474</v>
      </c>
      <c r="B490" t="s">
        <v>104</v>
      </c>
      <c r="C490" t="s">
        <v>96</v>
      </c>
      <c r="D490" t="s">
        <v>111</v>
      </c>
      <c r="E490">
        <v>31</v>
      </c>
      <c r="F490">
        <v>101</v>
      </c>
      <c r="G490">
        <v>90</v>
      </c>
      <c r="H490">
        <v>50</v>
      </c>
      <c r="I490" s="11">
        <v>9090</v>
      </c>
      <c r="J490" s="11">
        <v>5050</v>
      </c>
      <c r="K490" s="11">
        <v>4040</v>
      </c>
      <c r="L490" t="s">
        <v>84</v>
      </c>
      <c r="M490" t="s">
        <v>117</v>
      </c>
      <c r="N490" t="s">
        <v>124</v>
      </c>
    </row>
    <row r="491" spans="1:14">
      <c r="A491" s="20">
        <v>45343</v>
      </c>
      <c r="B491" t="s">
        <v>104</v>
      </c>
      <c r="C491" t="s">
        <v>96</v>
      </c>
      <c r="D491" t="s">
        <v>110</v>
      </c>
      <c r="E491">
        <v>33</v>
      </c>
      <c r="F491">
        <v>82</v>
      </c>
      <c r="G491">
        <v>90</v>
      </c>
      <c r="H491">
        <v>50</v>
      </c>
      <c r="I491" s="11">
        <v>7380</v>
      </c>
      <c r="J491" s="11">
        <v>4100</v>
      </c>
      <c r="K491" s="11">
        <v>3280</v>
      </c>
      <c r="L491" t="s">
        <v>79</v>
      </c>
      <c r="M491" t="s">
        <v>115</v>
      </c>
      <c r="N491" t="s">
        <v>124</v>
      </c>
    </row>
    <row r="492" spans="1:14">
      <c r="A492" s="20">
        <v>45626</v>
      </c>
      <c r="B492" t="s">
        <v>104</v>
      </c>
      <c r="C492" t="s">
        <v>96</v>
      </c>
      <c r="D492" t="s">
        <v>110</v>
      </c>
      <c r="E492">
        <v>25</v>
      </c>
      <c r="F492">
        <v>32</v>
      </c>
      <c r="G492">
        <v>90</v>
      </c>
      <c r="H492">
        <v>50</v>
      </c>
      <c r="I492" s="11">
        <v>2880</v>
      </c>
      <c r="J492" s="11">
        <v>1600</v>
      </c>
      <c r="K492" s="11">
        <v>1280</v>
      </c>
      <c r="L492" t="s">
        <v>88</v>
      </c>
      <c r="M492" t="s">
        <v>118</v>
      </c>
      <c r="N492" t="s">
        <v>123</v>
      </c>
    </row>
    <row r="493" spans="1:14">
      <c r="A493" s="20">
        <v>45303</v>
      </c>
      <c r="B493" t="s">
        <v>103</v>
      </c>
      <c r="C493" t="s">
        <v>93</v>
      </c>
      <c r="D493" t="s">
        <v>110</v>
      </c>
      <c r="E493">
        <v>26</v>
      </c>
      <c r="F493">
        <v>43</v>
      </c>
      <c r="G493">
        <v>100</v>
      </c>
      <c r="H493">
        <v>55</v>
      </c>
      <c r="I493" s="11">
        <v>4300</v>
      </c>
      <c r="J493" s="11">
        <v>2365</v>
      </c>
      <c r="K493" s="11">
        <v>1935</v>
      </c>
      <c r="L493" t="s">
        <v>78</v>
      </c>
      <c r="M493" t="s">
        <v>115</v>
      </c>
      <c r="N493" t="s">
        <v>123</v>
      </c>
    </row>
    <row r="494" spans="1:14">
      <c r="A494" s="20">
        <v>45495</v>
      </c>
      <c r="B494" t="s">
        <v>103</v>
      </c>
      <c r="C494" t="s">
        <v>93</v>
      </c>
      <c r="D494" t="s">
        <v>110</v>
      </c>
      <c r="E494">
        <v>27</v>
      </c>
      <c r="F494">
        <v>55</v>
      </c>
      <c r="G494">
        <v>100</v>
      </c>
      <c r="H494">
        <v>55</v>
      </c>
      <c r="I494" s="11">
        <v>5500</v>
      </c>
      <c r="J494" s="11">
        <v>3025</v>
      </c>
      <c r="K494" s="11">
        <v>2475</v>
      </c>
      <c r="L494" t="s">
        <v>84</v>
      </c>
      <c r="M494" t="s">
        <v>117</v>
      </c>
      <c r="N494" t="s">
        <v>123</v>
      </c>
    </row>
    <row r="495" spans="1:14">
      <c r="A495" s="20">
        <v>45387</v>
      </c>
      <c r="B495" t="s">
        <v>106</v>
      </c>
      <c r="C495" t="s">
        <v>96</v>
      </c>
      <c r="D495" t="s">
        <v>111</v>
      </c>
      <c r="E495">
        <v>40</v>
      </c>
      <c r="F495">
        <v>57</v>
      </c>
      <c r="G495">
        <v>90</v>
      </c>
      <c r="H495">
        <v>50</v>
      </c>
      <c r="I495" s="11">
        <v>5130</v>
      </c>
      <c r="J495" s="11">
        <v>2850</v>
      </c>
      <c r="K495" s="11">
        <v>2280</v>
      </c>
      <c r="L495" t="s">
        <v>81</v>
      </c>
      <c r="M495" t="s">
        <v>116</v>
      </c>
      <c r="N495" t="s">
        <v>125</v>
      </c>
    </row>
    <row r="496" spans="1:14">
      <c r="A496" s="20">
        <v>45616</v>
      </c>
      <c r="B496" t="s">
        <v>103</v>
      </c>
      <c r="C496" t="s">
        <v>97</v>
      </c>
      <c r="D496" t="s">
        <v>112</v>
      </c>
      <c r="E496">
        <v>20</v>
      </c>
      <c r="F496">
        <v>10</v>
      </c>
      <c r="G496">
        <v>130</v>
      </c>
      <c r="H496">
        <v>70</v>
      </c>
      <c r="I496" s="11">
        <v>1300</v>
      </c>
      <c r="J496" s="11">
        <v>700</v>
      </c>
      <c r="K496" s="11">
        <v>600</v>
      </c>
      <c r="L496" t="s">
        <v>88</v>
      </c>
      <c r="M496" t="s">
        <v>118</v>
      </c>
      <c r="N496" t="s">
        <v>122</v>
      </c>
    </row>
    <row r="497" spans="1:14">
      <c r="A497" s="20">
        <v>45428</v>
      </c>
      <c r="B497" t="s">
        <v>103</v>
      </c>
      <c r="C497" t="s">
        <v>98</v>
      </c>
      <c r="D497" t="s">
        <v>111</v>
      </c>
      <c r="E497">
        <v>34</v>
      </c>
      <c r="F497">
        <v>192</v>
      </c>
      <c r="G497">
        <v>100</v>
      </c>
      <c r="H497">
        <v>55</v>
      </c>
      <c r="I497" s="11">
        <v>19200</v>
      </c>
      <c r="J497" s="11">
        <v>10560</v>
      </c>
      <c r="K497" s="11">
        <v>8640</v>
      </c>
      <c r="L497" t="s">
        <v>82</v>
      </c>
      <c r="M497" t="s">
        <v>116</v>
      </c>
      <c r="N497" t="s">
        <v>124</v>
      </c>
    </row>
    <row r="498" spans="1:14">
      <c r="A498" s="20">
        <v>45432</v>
      </c>
      <c r="B498" t="s">
        <v>104</v>
      </c>
      <c r="C498" t="s">
        <v>93</v>
      </c>
      <c r="D498" t="s">
        <v>112</v>
      </c>
      <c r="E498">
        <v>41</v>
      </c>
      <c r="F498">
        <v>194</v>
      </c>
      <c r="G498">
        <v>100</v>
      </c>
      <c r="H498">
        <v>55</v>
      </c>
      <c r="I498" s="11">
        <v>19400</v>
      </c>
      <c r="J498" s="11">
        <v>10670</v>
      </c>
      <c r="K498" s="11">
        <v>8730</v>
      </c>
      <c r="L498" t="s">
        <v>82</v>
      </c>
      <c r="M498" t="s">
        <v>116</v>
      </c>
      <c r="N498" t="s">
        <v>125</v>
      </c>
    </row>
    <row r="499" spans="1:14">
      <c r="A499" s="20">
        <v>45509</v>
      </c>
      <c r="B499" t="s">
        <v>106</v>
      </c>
      <c r="C499" t="s">
        <v>96</v>
      </c>
      <c r="D499" t="s">
        <v>111</v>
      </c>
      <c r="E499">
        <v>32</v>
      </c>
      <c r="F499">
        <v>84</v>
      </c>
      <c r="G499">
        <v>90</v>
      </c>
      <c r="H499">
        <v>50</v>
      </c>
      <c r="I499" s="11">
        <v>7560</v>
      </c>
      <c r="J499" s="11">
        <v>4200</v>
      </c>
      <c r="K499" s="11">
        <v>3360</v>
      </c>
      <c r="L499" t="s">
        <v>85</v>
      </c>
      <c r="M499" t="s">
        <v>117</v>
      </c>
      <c r="N499" t="s">
        <v>124</v>
      </c>
    </row>
    <row r="500" spans="1:14">
      <c r="A500" s="20">
        <v>45504</v>
      </c>
      <c r="B500" t="s">
        <v>105</v>
      </c>
      <c r="C500" t="s">
        <v>95</v>
      </c>
      <c r="D500" t="s">
        <v>112</v>
      </c>
      <c r="E500">
        <v>26</v>
      </c>
      <c r="F500">
        <v>40</v>
      </c>
      <c r="G500">
        <v>110</v>
      </c>
      <c r="H500">
        <v>60</v>
      </c>
      <c r="I500" s="11">
        <v>4400</v>
      </c>
      <c r="J500" s="11">
        <v>2400</v>
      </c>
      <c r="K500" s="11">
        <v>2000</v>
      </c>
      <c r="L500" t="s">
        <v>84</v>
      </c>
      <c r="M500" t="s">
        <v>117</v>
      </c>
      <c r="N500" t="s">
        <v>123</v>
      </c>
    </row>
    <row r="501" spans="1:14">
      <c r="A501" s="20">
        <v>45572</v>
      </c>
      <c r="B501" t="s">
        <v>103</v>
      </c>
      <c r="C501" t="s">
        <v>93</v>
      </c>
      <c r="D501" t="s">
        <v>111</v>
      </c>
      <c r="E501">
        <v>30</v>
      </c>
      <c r="F501">
        <v>41</v>
      </c>
      <c r="G501">
        <v>100</v>
      </c>
      <c r="H501">
        <v>55</v>
      </c>
      <c r="I501" s="11">
        <v>4100</v>
      </c>
      <c r="J501" s="11">
        <v>2255</v>
      </c>
      <c r="K501" s="11">
        <v>1845</v>
      </c>
      <c r="L501" t="s">
        <v>87</v>
      </c>
      <c r="M501" t="s">
        <v>118</v>
      </c>
      <c r="N501" t="s">
        <v>123</v>
      </c>
    </row>
    <row r="502" spans="1:14">
      <c r="A502" s="20">
        <v>45589</v>
      </c>
      <c r="B502" t="s">
        <v>104</v>
      </c>
      <c r="C502" t="s">
        <v>94</v>
      </c>
      <c r="D502" t="s">
        <v>110</v>
      </c>
      <c r="E502">
        <v>28</v>
      </c>
      <c r="F502">
        <v>70</v>
      </c>
      <c r="G502">
        <v>80</v>
      </c>
      <c r="H502">
        <v>45</v>
      </c>
      <c r="I502" s="11">
        <v>5600</v>
      </c>
      <c r="J502" s="11">
        <v>3150</v>
      </c>
      <c r="K502" s="11">
        <v>2450</v>
      </c>
      <c r="L502" t="s">
        <v>87</v>
      </c>
      <c r="M502" t="s">
        <v>118</v>
      </c>
      <c r="N502" t="s">
        <v>123</v>
      </c>
    </row>
    <row r="503" spans="1:14">
      <c r="A503" s="20">
        <v>45594</v>
      </c>
      <c r="B503" t="s">
        <v>105</v>
      </c>
      <c r="C503" t="s">
        <v>94</v>
      </c>
      <c r="D503" t="s">
        <v>111</v>
      </c>
      <c r="E503">
        <v>34</v>
      </c>
      <c r="F503">
        <v>100</v>
      </c>
      <c r="G503">
        <v>80</v>
      </c>
      <c r="H503">
        <v>45</v>
      </c>
      <c r="I503" s="11">
        <v>8000</v>
      </c>
      <c r="J503" s="11">
        <v>4500</v>
      </c>
      <c r="K503" s="11">
        <v>3500</v>
      </c>
      <c r="L503" t="s">
        <v>87</v>
      </c>
      <c r="M503" t="s">
        <v>118</v>
      </c>
      <c r="N503" t="s">
        <v>124</v>
      </c>
    </row>
    <row r="504" spans="1:14">
      <c r="A504" s="20">
        <v>45304</v>
      </c>
      <c r="B504" t="s">
        <v>106</v>
      </c>
      <c r="C504" t="s">
        <v>93</v>
      </c>
      <c r="D504" t="s">
        <v>112</v>
      </c>
      <c r="E504">
        <v>26</v>
      </c>
      <c r="F504">
        <v>25</v>
      </c>
      <c r="G504">
        <v>100</v>
      </c>
      <c r="H504">
        <v>55</v>
      </c>
      <c r="I504" s="11">
        <v>2500</v>
      </c>
      <c r="J504" s="11">
        <v>1375</v>
      </c>
      <c r="K504" s="11">
        <v>1125</v>
      </c>
      <c r="L504" t="s">
        <v>78</v>
      </c>
      <c r="M504" t="s">
        <v>115</v>
      </c>
      <c r="N504" t="s">
        <v>123</v>
      </c>
    </row>
    <row r="505" spans="1:14">
      <c r="A505" s="20">
        <v>45620</v>
      </c>
      <c r="B505" t="s">
        <v>105</v>
      </c>
      <c r="C505" t="s">
        <v>98</v>
      </c>
      <c r="D505" t="s">
        <v>111</v>
      </c>
      <c r="E505">
        <v>24</v>
      </c>
      <c r="F505">
        <v>45</v>
      </c>
      <c r="G505">
        <v>100</v>
      </c>
      <c r="H505">
        <v>55</v>
      </c>
      <c r="I505" s="11">
        <v>4500</v>
      </c>
      <c r="J505" s="11">
        <v>2475</v>
      </c>
      <c r="K505" s="11">
        <v>2025</v>
      </c>
      <c r="L505" t="s">
        <v>88</v>
      </c>
      <c r="M505" t="s">
        <v>118</v>
      </c>
      <c r="N505" t="s">
        <v>122</v>
      </c>
    </row>
    <row r="506" spans="1:14">
      <c r="A506" s="20">
        <v>45464</v>
      </c>
      <c r="B506" t="s">
        <v>104</v>
      </c>
      <c r="C506" t="s">
        <v>94</v>
      </c>
      <c r="D506" t="s">
        <v>112</v>
      </c>
      <c r="E506">
        <v>33</v>
      </c>
      <c r="F506">
        <v>85</v>
      </c>
      <c r="G506">
        <v>80</v>
      </c>
      <c r="H506">
        <v>45</v>
      </c>
      <c r="I506" s="11">
        <v>6800</v>
      </c>
      <c r="J506" s="11">
        <v>3825</v>
      </c>
      <c r="K506" s="11">
        <v>2975</v>
      </c>
      <c r="L506" t="s">
        <v>83</v>
      </c>
      <c r="M506" t="s">
        <v>116</v>
      </c>
      <c r="N506" t="s">
        <v>124</v>
      </c>
    </row>
    <row r="507" spans="1:14">
      <c r="A507" s="20">
        <v>45294</v>
      </c>
      <c r="B507" t="s">
        <v>105</v>
      </c>
      <c r="C507" t="s">
        <v>93</v>
      </c>
      <c r="D507" t="s">
        <v>110</v>
      </c>
      <c r="E507">
        <v>23</v>
      </c>
      <c r="F507">
        <v>49</v>
      </c>
      <c r="G507">
        <v>100</v>
      </c>
      <c r="H507">
        <v>55</v>
      </c>
      <c r="I507" s="11">
        <v>4900</v>
      </c>
      <c r="J507" s="11">
        <v>2695</v>
      </c>
      <c r="K507" s="11">
        <v>2205</v>
      </c>
      <c r="L507" t="s">
        <v>78</v>
      </c>
      <c r="M507" t="s">
        <v>115</v>
      </c>
      <c r="N507" t="s">
        <v>122</v>
      </c>
    </row>
    <row r="508" spans="1:14">
      <c r="A508" s="20">
        <v>45356</v>
      </c>
      <c r="B508" t="s">
        <v>103</v>
      </c>
      <c r="C508" t="s">
        <v>98</v>
      </c>
      <c r="D508" t="s">
        <v>110</v>
      </c>
      <c r="E508">
        <v>32</v>
      </c>
      <c r="F508">
        <v>106</v>
      </c>
      <c r="G508">
        <v>100</v>
      </c>
      <c r="H508">
        <v>55</v>
      </c>
      <c r="I508" s="11">
        <v>10600</v>
      </c>
      <c r="J508" s="11">
        <v>5830</v>
      </c>
      <c r="K508" s="11">
        <v>4770</v>
      </c>
      <c r="L508" t="s">
        <v>80</v>
      </c>
      <c r="M508" t="s">
        <v>115</v>
      </c>
      <c r="N508" t="s">
        <v>124</v>
      </c>
    </row>
    <row r="509" spans="1:14">
      <c r="A509" s="20">
        <v>45409</v>
      </c>
      <c r="B509" t="s">
        <v>104</v>
      </c>
      <c r="C509" t="s">
        <v>95</v>
      </c>
      <c r="D509" t="s">
        <v>110</v>
      </c>
      <c r="E509">
        <v>36</v>
      </c>
      <c r="F509">
        <v>123</v>
      </c>
      <c r="G509">
        <v>110</v>
      </c>
      <c r="H509">
        <v>60</v>
      </c>
      <c r="I509" s="11">
        <v>13530</v>
      </c>
      <c r="J509" s="11">
        <v>7380</v>
      </c>
      <c r="K509" s="11">
        <v>6150</v>
      </c>
      <c r="L509" t="s">
        <v>81</v>
      </c>
      <c r="M509" t="s">
        <v>116</v>
      </c>
      <c r="N509" t="s">
        <v>125</v>
      </c>
    </row>
    <row r="510" spans="1:14">
      <c r="A510" s="20">
        <v>45393</v>
      </c>
      <c r="B510" t="s">
        <v>103</v>
      </c>
      <c r="C510" t="s">
        <v>93</v>
      </c>
      <c r="D510" t="s">
        <v>110</v>
      </c>
      <c r="E510">
        <v>34</v>
      </c>
      <c r="F510">
        <v>187</v>
      </c>
      <c r="G510">
        <v>100</v>
      </c>
      <c r="H510">
        <v>55</v>
      </c>
      <c r="I510" s="11">
        <v>18700</v>
      </c>
      <c r="J510" s="11">
        <v>10285</v>
      </c>
      <c r="K510" s="11">
        <v>8415</v>
      </c>
      <c r="L510" t="s">
        <v>81</v>
      </c>
      <c r="M510" t="s">
        <v>116</v>
      </c>
      <c r="N510" t="s">
        <v>124</v>
      </c>
    </row>
    <row r="511" spans="1:14">
      <c r="A511" s="20">
        <v>45402</v>
      </c>
      <c r="B511" t="s">
        <v>106</v>
      </c>
      <c r="C511" t="s">
        <v>93</v>
      </c>
      <c r="D511" t="s">
        <v>110</v>
      </c>
      <c r="E511">
        <v>40</v>
      </c>
      <c r="F511">
        <v>78</v>
      </c>
      <c r="G511">
        <v>100</v>
      </c>
      <c r="H511">
        <v>55</v>
      </c>
      <c r="I511" s="11">
        <v>7800</v>
      </c>
      <c r="J511" s="11">
        <v>4290</v>
      </c>
      <c r="K511" s="11">
        <v>3510</v>
      </c>
      <c r="L511" t="s">
        <v>81</v>
      </c>
      <c r="M511" t="s">
        <v>116</v>
      </c>
      <c r="N511" t="s">
        <v>125</v>
      </c>
    </row>
    <row r="512" spans="1:14">
      <c r="A512" s="20">
        <v>45519</v>
      </c>
      <c r="B512" t="s">
        <v>104</v>
      </c>
      <c r="C512" t="s">
        <v>94</v>
      </c>
      <c r="D512" t="s">
        <v>111</v>
      </c>
      <c r="E512">
        <v>26</v>
      </c>
      <c r="F512">
        <v>57</v>
      </c>
      <c r="G512">
        <v>80</v>
      </c>
      <c r="H512">
        <v>45</v>
      </c>
      <c r="I512" s="11">
        <v>4560</v>
      </c>
      <c r="J512" s="11">
        <v>2565</v>
      </c>
      <c r="K512" s="11">
        <v>1995</v>
      </c>
      <c r="L512" t="s">
        <v>85</v>
      </c>
      <c r="M512" t="s">
        <v>117</v>
      </c>
      <c r="N512" t="s">
        <v>123</v>
      </c>
    </row>
    <row r="513" spans="1:14">
      <c r="A513" s="20">
        <v>45395</v>
      </c>
      <c r="B513" t="s">
        <v>106</v>
      </c>
      <c r="C513" t="s">
        <v>94</v>
      </c>
      <c r="D513" t="s">
        <v>111</v>
      </c>
      <c r="E513">
        <v>38</v>
      </c>
      <c r="F513">
        <v>183</v>
      </c>
      <c r="G513">
        <v>80</v>
      </c>
      <c r="H513">
        <v>45</v>
      </c>
      <c r="I513" s="11">
        <v>14640</v>
      </c>
      <c r="J513" s="11">
        <v>8235</v>
      </c>
      <c r="K513" s="11">
        <v>6405</v>
      </c>
      <c r="L513" t="s">
        <v>81</v>
      </c>
      <c r="M513" t="s">
        <v>116</v>
      </c>
      <c r="N513" t="s">
        <v>125</v>
      </c>
    </row>
    <row r="514" spans="1:14">
      <c r="A514" s="20">
        <v>45515</v>
      </c>
      <c r="B514" t="s">
        <v>105</v>
      </c>
      <c r="C514" t="s">
        <v>93</v>
      </c>
      <c r="D514" t="s">
        <v>111</v>
      </c>
      <c r="E514">
        <v>30</v>
      </c>
      <c r="F514">
        <v>86</v>
      </c>
      <c r="G514">
        <v>100</v>
      </c>
      <c r="H514">
        <v>55</v>
      </c>
      <c r="I514" s="11">
        <v>8600</v>
      </c>
      <c r="J514" s="11">
        <v>4730</v>
      </c>
      <c r="K514" s="11">
        <v>3870</v>
      </c>
      <c r="L514" t="s">
        <v>85</v>
      </c>
      <c r="M514" t="s">
        <v>117</v>
      </c>
      <c r="N514" t="s">
        <v>123</v>
      </c>
    </row>
    <row r="515" spans="1:14">
      <c r="A515" s="20">
        <v>45426</v>
      </c>
      <c r="B515" t="s">
        <v>105</v>
      </c>
      <c r="C515" t="s">
        <v>98</v>
      </c>
      <c r="D515" t="s">
        <v>111</v>
      </c>
      <c r="E515">
        <v>32</v>
      </c>
      <c r="F515">
        <v>57</v>
      </c>
      <c r="G515">
        <v>100</v>
      </c>
      <c r="H515">
        <v>55</v>
      </c>
      <c r="I515" s="11">
        <v>5700</v>
      </c>
      <c r="J515" s="11">
        <v>3135</v>
      </c>
      <c r="K515" s="11">
        <v>2565</v>
      </c>
      <c r="L515" t="s">
        <v>82</v>
      </c>
      <c r="M515" t="s">
        <v>116</v>
      </c>
      <c r="N515" t="s">
        <v>124</v>
      </c>
    </row>
    <row r="516" spans="1:14">
      <c r="A516" s="20">
        <v>45508</v>
      </c>
      <c r="B516" t="s">
        <v>103</v>
      </c>
      <c r="C516" t="s">
        <v>93</v>
      </c>
      <c r="D516" t="s">
        <v>110</v>
      </c>
      <c r="E516">
        <v>34</v>
      </c>
      <c r="F516">
        <v>96</v>
      </c>
      <c r="G516">
        <v>100</v>
      </c>
      <c r="H516">
        <v>55</v>
      </c>
      <c r="I516" s="11">
        <v>9600</v>
      </c>
      <c r="J516" s="11">
        <v>5280</v>
      </c>
      <c r="K516" s="11">
        <v>4320</v>
      </c>
      <c r="L516" t="s">
        <v>85</v>
      </c>
      <c r="M516" t="s">
        <v>117</v>
      </c>
      <c r="N516" t="s">
        <v>124</v>
      </c>
    </row>
    <row r="517" spans="1:14">
      <c r="A517" s="20">
        <v>45448</v>
      </c>
      <c r="B517" t="s">
        <v>104</v>
      </c>
      <c r="C517" t="s">
        <v>94</v>
      </c>
      <c r="D517" t="s">
        <v>111</v>
      </c>
      <c r="E517">
        <v>41</v>
      </c>
      <c r="F517">
        <v>53</v>
      </c>
      <c r="G517">
        <v>80</v>
      </c>
      <c r="H517">
        <v>45</v>
      </c>
      <c r="I517" s="11">
        <v>4240</v>
      </c>
      <c r="J517" s="11">
        <v>2385</v>
      </c>
      <c r="K517" s="11">
        <v>1855</v>
      </c>
      <c r="L517" t="s">
        <v>83</v>
      </c>
      <c r="M517" t="s">
        <v>116</v>
      </c>
      <c r="N517" t="s">
        <v>125</v>
      </c>
    </row>
    <row r="518" spans="1:14">
      <c r="A518" s="20">
        <v>45395</v>
      </c>
      <c r="B518" t="s">
        <v>105</v>
      </c>
      <c r="C518" t="s">
        <v>97</v>
      </c>
      <c r="D518" t="s">
        <v>112</v>
      </c>
      <c r="E518">
        <v>37</v>
      </c>
      <c r="F518">
        <v>124</v>
      </c>
      <c r="G518">
        <v>130</v>
      </c>
      <c r="H518">
        <v>70</v>
      </c>
      <c r="I518" s="11">
        <v>16120</v>
      </c>
      <c r="J518" s="11">
        <v>8680</v>
      </c>
      <c r="K518" s="11">
        <v>7440</v>
      </c>
      <c r="L518" t="s">
        <v>81</v>
      </c>
      <c r="M518" t="s">
        <v>116</v>
      </c>
      <c r="N518" t="s">
        <v>125</v>
      </c>
    </row>
    <row r="519" spans="1:14">
      <c r="A519" s="20">
        <v>45524</v>
      </c>
      <c r="B519" t="s">
        <v>105</v>
      </c>
      <c r="C519" t="s">
        <v>94</v>
      </c>
      <c r="D519" t="s">
        <v>111</v>
      </c>
      <c r="E519">
        <v>34</v>
      </c>
      <c r="F519">
        <v>86</v>
      </c>
      <c r="G519">
        <v>80</v>
      </c>
      <c r="H519">
        <v>45</v>
      </c>
      <c r="I519" s="11">
        <v>6880</v>
      </c>
      <c r="J519" s="11">
        <v>3870</v>
      </c>
      <c r="K519" s="11">
        <v>3010</v>
      </c>
      <c r="L519" t="s">
        <v>85</v>
      </c>
      <c r="M519" t="s">
        <v>117</v>
      </c>
      <c r="N519" t="s">
        <v>124</v>
      </c>
    </row>
    <row r="520" spans="1:14">
      <c r="A520" s="20">
        <v>45592</v>
      </c>
      <c r="B520" t="s">
        <v>106</v>
      </c>
      <c r="C520" t="s">
        <v>93</v>
      </c>
      <c r="D520" t="s">
        <v>111</v>
      </c>
      <c r="E520">
        <v>26</v>
      </c>
      <c r="F520">
        <v>97</v>
      </c>
      <c r="G520">
        <v>100</v>
      </c>
      <c r="H520">
        <v>55</v>
      </c>
      <c r="I520" s="11">
        <v>9700</v>
      </c>
      <c r="J520" s="11">
        <v>5335</v>
      </c>
      <c r="K520" s="11">
        <v>4365</v>
      </c>
      <c r="L520" t="s">
        <v>87</v>
      </c>
      <c r="M520" t="s">
        <v>118</v>
      </c>
      <c r="N520" t="s">
        <v>123</v>
      </c>
    </row>
    <row r="521" spans="1:14">
      <c r="A521" s="20">
        <v>45340</v>
      </c>
      <c r="B521" t="s">
        <v>103</v>
      </c>
      <c r="C521" t="s">
        <v>97</v>
      </c>
      <c r="D521" t="s">
        <v>111</v>
      </c>
      <c r="E521">
        <v>34</v>
      </c>
      <c r="F521">
        <v>86</v>
      </c>
      <c r="G521">
        <v>130</v>
      </c>
      <c r="H521">
        <v>70</v>
      </c>
      <c r="I521" s="11">
        <v>11180</v>
      </c>
      <c r="J521" s="11">
        <v>6020</v>
      </c>
      <c r="K521" s="11">
        <v>5160</v>
      </c>
      <c r="L521" t="s">
        <v>79</v>
      </c>
      <c r="M521" t="s">
        <v>115</v>
      </c>
      <c r="N521" t="s">
        <v>124</v>
      </c>
    </row>
    <row r="522" spans="1:14">
      <c r="A522" s="20">
        <v>45465</v>
      </c>
      <c r="B522" t="s">
        <v>103</v>
      </c>
      <c r="C522" t="s">
        <v>94</v>
      </c>
      <c r="D522" t="s">
        <v>110</v>
      </c>
      <c r="E522">
        <v>40</v>
      </c>
      <c r="F522">
        <v>101</v>
      </c>
      <c r="G522">
        <v>80</v>
      </c>
      <c r="H522">
        <v>45</v>
      </c>
      <c r="I522" s="11">
        <v>8080</v>
      </c>
      <c r="J522" s="11">
        <v>4545</v>
      </c>
      <c r="K522" s="11">
        <v>3535</v>
      </c>
      <c r="L522" t="s">
        <v>83</v>
      </c>
      <c r="M522" t="s">
        <v>116</v>
      </c>
      <c r="N522" t="s">
        <v>125</v>
      </c>
    </row>
    <row r="523" spans="1:14">
      <c r="A523" s="20">
        <v>45539</v>
      </c>
      <c r="B523" t="s">
        <v>106</v>
      </c>
      <c r="C523" t="s">
        <v>94</v>
      </c>
      <c r="D523" t="s">
        <v>111</v>
      </c>
      <c r="E523">
        <v>30</v>
      </c>
      <c r="F523">
        <v>44</v>
      </c>
      <c r="G523">
        <v>80</v>
      </c>
      <c r="H523">
        <v>45</v>
      </c>
      <c r="I523" s="11">
        <v>3520</v>
      </c>
      <c r="J523" s="11">
        <v>1980</v>
      </c>
      <c r="K523" s="11">
        <v>1540</v>
      </c>
      <c r="L523" t="s">
        <v>86</v>
      </c>
      <c r="M523" t="s">
        <v>117</v>
      </c>
      <c r="N523" t="s">
        <v>123</v>
      </c>
    </row>
    <row r="524" spans="1:14">
      <c r="A524" s="20">
        <v>45337</v>
      </c>
      <c r="B524" t="s">
        <v>103</v>
      </c>
      <c r="C524" t="s">
        <v>94</v>
      </c>
      <c r="D524" t="s">
        <v>111</v>
      </c>
      <c r="E524">
        <v>28</v>
      </c>
      <c r="F524">
        <v>107</v>
      </c>
      <c r="G524">
        <v>80</v>
      </c>
      <c r="H524">
        <v>45</v>
      </c>
      <c r="I524" s="11">
        <v>8560</v>
      </c>
      <c r="J524" s="11">
        <v>4815</v>
      </c>
      <c r="K524" s="11">
        <v>3745</v>
      </c>
      <c r="L524" t="s">
        <v>79</v>
      </c>
      <c r="M524" t="s">
        <v>115</v>
      </c>
      <c r="N524" t="s">
        <v>123</v>
      </c>
    </row>
    <row r="525" spans="1:14">
      <c r="A525" s="20">
        <v>45297</v>
      </c>
      <c r="B525" t="s">
        <v>103</v>
      </c>
      <c r="C525" t="s">
        <v>93</v>
      </c>
      <c r="D525" t="s">
        <v>110</v>
      </c>
      <c r="E525">
        <v>18</v>
      </c>
      <c r="F525">
        <v>42</v>
      </c>
      <c r="G525">
        <v>100</v>
      </c>
      <c r="H525">
        <v>55</v>
      </c>
      <c r="I525" s="11">
        <v>4200</v>
      </c>
      <c r="J525" s="11">
        <v>2310</v>
      </c>
      <c r="K525" s="11">
        <v>1890</v>
      </c>
      <c r="L525" t="s">
        <v>78</v>
      </c>
      <c r="M525" t="s">
        <v>115</v>
      </c>
      <c r="N525" t="s">
        <v>122</v>
      </c>
    </row>
    <row r="526" spans="1:14">
      <c r="A526" s="20">
        <v>45531</v>
      </c>
      <c r="B526" t="s">
        <v>104</v>
      </c>
      <c r="C526" t="s">
        <v>97</v>
      </c>
      <c r="D526" t="s">
        <v>110</v>
      </c>
      <c r="E526">
        <v>34</v>
      </c>
      <c r="F526">
        <v>99</v>
      </c>
      <c r="G526">
        <v>130</v>
      </c>
      <c r="H526">
        <v>70</v>
      </c>
      <c r="I526" s="11">
        <v>12870</v>
      </c>
      <c r="J526" s="11">
        <v>6930</v>
      </c>
      <c r="K526" s="11">
        <v>5940</v>
      </c>
      <c r="L526" t="s">
        <v>85</v>
      </c>
      <c r="M526" t="s">
        <v>117</v>
      </c>
      <c r="N526" t="s">
        <v>124</v>
      </c>
    </row>
    <row r="527" spans="1:14">
      <c r="A527" s="20">
        <v>45563</v>
      </c>
      <c r="B527" t="s">
        <v>104</v>
      </c>
      <c r="C527" t="s">
        <v>96</v>
      </c>
      <c r="D527" t="s">
        <v>110</v>
      </c>
      <c r="E527">
        <v>34</v>
      </c>
      <c r="F527">
        <v>88</v>
      </c>
      <c r="G527">
        <v>90</v>
      </c>
      <c r="H527">
        <v>50</v>
      </c>
      <c r="I527" s="11">
        <v>7920</v>
      </c>
      <c r="J527" s="11">
        <v>4400</v>
      </c>
      <c r="K527" s="11">
        <v>3520</v>
      </c>
      <c r="L527" t="s">
        <v>86</v>
      </c>
      <c r="M527" t="s">
        <v>117</v>
      </c>
      <c r="N527" t="s">
        <v>124</v>
      </c>
    </row>
    <row r="528" spans="1:14">
      <c r="A528" s="20">
        <v>45623</v>
      </c>
      <c r="B528" t="s">
        <v>104</v>
      </c>
      <c r="C528" t="s">
        <v>93</v>
      </c>
      <c r="D528" t="s">
        <v>111</v>
      </c>
      <c r="E528">
        <v>23</v>
      </c>
      <c r="F528">
        <v>47</v>
      </c>
      <c r="G528">
        <v>100</v>
      </c>
      <c r="H528">
        <v>55</v>
      </c>
      <c r="I528" s="11">
        <v>4700</v>
      </c>
      <c r="J528" s="11">
        <v>2585</v>
      </c>
      <c r="K528" s="11">
        <v>2115</v>
      </c>
      <c r="L528" t="s">
        <v>88</v>
      </c>
      <c r="M528" t="s">
        <v>118</v>
      </c>
      <c r="N528" t="s">
        <v>122</v>
      </c>
    </row>
    <row r="529" spans="1:14">
      <c r="A529" s="20">
        <v>45445</v>
      </c>
      <c r="B529" t="s">
        <v>106</v>
      </c>
      <c r="C529" t="s">
        <v>94</v>
      </c>
      <c r="D529" t="s">
        <v>111</v>
      </c>
      <c r="E529">
        <v>33</v>
      </c>
      <c r="F529">
        <v>174</v>
      </c>
      <c r="G529">
        <v>80</v>
      </c>
      <c r="H529">
        <v>45</v>
      </c>
      <c r="I529" s="11">
        <v>13920</v>
      </c>
      <c r="J529" s="11">
        <v>7830</v>
      </c>
      <c r="K529" s="11">
        <v>6090</v>
      </c>
      <c r="L529" t="s">
        <v>83</v>
      </c>
      <c r="M529" t="s">
        <v>116</v>
      </c>
      <c r="N529" t="s">
        <v>124</v>
      </c>
    </row>
    <row r="530" spans="1:14">
      <c r="A530" s="20">
        <v>45564</v>
      </c>
      <c r="B530" t="s">
        <v>104</v>
      </c>
      <c r="C530" t="s">
        <v>97</v>
      </c>
      <c r="D530" t="s">
        <v>112</v>
      </c>
      <c r="E530">
        <v>33</v>
      </c>
      <c r="F530">
        <v>37</v>
      </c>
      <c r="G530">
        <v>130</v>
      </c>
      <c r="H530">
        <v>70</v>
      </c>
      <c r="I530" s="11">
        <v>4810</v>
      </c>
      <c r="J530" s="11">
        <v>2590</v>
      </c>
      <c r="K530" s="11">
        <v>2220</v>
      </c>
      <c r="L530" t="s">
        <v>86</v>
      </c>
      <c r="M530" t="s">
        <v>117</v>
      </c>
      <c r="N530" t="s">
        <v>124</v>
      </c>
    </row>
    <row r="531" spans="1:14">
      <c r="A531" s="20">
        <v>45643</v>
      </c>
      <c r="B531" t="s">
        <v>103</v>
      </c>
      <c r="C531" t="s">
        <v>93</v>
      </c>
      <c r="D531" t="s">
        <v>110</v>
      </c>
      <c r="E531">
        <v>21</v>
      </c>
      <c r="F531">
        <v>26</v>
      </c>
      <c r="G531">
        <v>100</v>
      </c>
      <c r="H531">
        <v>55</v>
      </c>
      <c r="I531" s="11">
        <v>2600</v>
      </c>
      <c r="J531" s="11">
        <v>1430</v>
      </c>
      <c r="K531" s="11">
        <v>1170</v>
      </c>
      <c r="L531" t="s">
        <v>89</v>
      </c>
      <c r="M531" t="s">
        <v>118</v>
      </c>
      <c r="N531" t="s">
        <v>122</v>
      </c>
    </row>
    <row r="532" spans="1:14">
      <c r="A532" s="20">
        <v>45379</v>
      </c>
      <c r="B532" t="s">
        <v>106</v>
      </c>
      <c r="C532" t="s">
        <v>95</v>
      </c>
      <c r="D532" t="s">
        <v>111</v>
      </c>
      <c r="E532">
        <v>35</v>
      </c>
      <c r="F532">
        <v>123</v>
      </c>
      <c r="G532">
        <v>110</v>
      </c>
      <c r="H532">
        <v>60</v>
      </c>
      <c r="I532" s="11">
        <v>13530</v>
      </c>
      <c r="J532" s="11">
        <v>7380</v>
      </c>
      <c r="K532" s="11">
        <v>6150</v>
      </c>
      <c r="L532" t="s">
        <v>80</v>
      </c>
      <c r="M532" t="s">
        <v>115</v>
      </c>
      <c r="N532" t="s">
        <v>124</v>
      </c>
    </row>
    <row r="533" spans="1:14">
      <c r="A533" s="20">
        <v>45392</v>
      </c>
      <c r="B533" t="s">
        <v>104</v>
      </c>
      <c r="C533" t="s">
        <v>93</v>
      </c>
      <c r="D533" t="s">
        <v>111</v>
      </c>
      <c r="E533">
        <v>33</v>
      </c>
      <c r="F533">
        <v>153</v>
      </c>
      <c r="G533">
        <v>100</v>
      </c>
      <c r="H533">
        <v>55</v>
      </c>
      <c r="I533" s="11">
        <v>15300</v>
      </c>
      <c r="J533" s="11">
        <v>8415</v>
      </c>
      <c r="K533" s="11">
        <v>6885</v>
      </c>
      <c r="L533" t="s">
        <v>81</v>
      </c>
      <c r="M533" t="s">
        <v>116</v>
      </c>
      <c r="N533" t="s">
        <v>124</v>
      </c>
    </row>
    <row r="534" spans="1:14">
      <c r="A534" s="20">
        <v>45346</v>
      </c>
      <c r="B534" t="s">
        <v>103</v>
      </c>
      <c r="C534" t="s">
        <v>95</v>
      </c>
      <c r="D534" t="s">
        <v>110</v>
      </c>
      <c r="E534">
        <v>29</v>
      </c>
      <c r="F534">
        <v>96</v>
      </c>
      <c r="G534">
        <v>110</v>
      </c>
      <c r="H534">
        <v>60</v>
      </c>
      <c r="I534" s="11">
        <v>10560</v>
      </c>
      <c r="J534" s="11">
        <v>5760</v>
      </c>
      <c r="K534" s="11">
        <v>4800</v>
      </c>
      <c r="L534" t="s">
        <v>79</v>
      </c>
      <c r="M534" t="s">
        <v>115</v>
      </c>
      <c r="N534" t="s">
        <v>123</v>
      </c>
    </row>
    <row r="535" spans="1:14">
      <c r="A535" s="20">
        <v>45556</v>
      </c>
      <c r="B535" t="s">
        <v>106</v>
      </c>
      <c r="C535" t="s">
        <v>94</v>
      </c>
      <c r="D535" t="s">
        <v>112</v>
      </c>
      <c r="E535">
        <v>34</v>
      </c>
      <c r="F535">
        <v>30</v>
      </c>
      <c r="G535">
        <v>80</v>
      </c>
      <c r="H535">
        <v>45</v>
      </c>
      <c r="I535" s="11">
        <v>2400</v>
      </c>
      <c r="J535" s="11">
        <v>1350</v>
      </c>
      <c r="K535" s="11">
        <v>1050</v>
      </c>
      <c r="L535" t="s">
        <v>86</v>
      </c>
      <c r="M535" t="s">
        <v>117</v>
      </c>
      <c r="N535" t="s">
        <v>124</v>
      </c>
    </row>
    <row r="536" spans="1:14">
      <c r="A536" s="20">
        <v>45384</v>
      </c>
      <c r="B536" t="s">
        <v>105</v>
      </c>
      <c r="C536" t="s">
        <v>93</v>
      </c>
      <c r="D536" t="s">
        <v>110</v>
      </c>
      <c r="E536">
        <v>34</v>
      </c>
      <c r="F536">
        <v>143</v>
      </c>
      <c r="G536">
        <v>100</v>
      </c>
      <c r="H536">
        <v>55</v>
      </c>
      <c r="I536" s="11">
        <v>14300</v>
      </c>
      <c r="J536" s="11">
        <v>7865</v>
      </c>
      <c r="K536" s="11">
        <v>6435</v>
      </c>
      <c r="L536" t="s">
        <v>81</v>
      </c>
      <c r="M536" t="s">
        <v>116</v>
      </c>
      <c r="N536" t="s">
        <v>124</v>
      </c>
    </row>
    <row r="537" spans="1:14">
      <c r="A537" s="20">
        <v>45390</v>
      </c>
      <c r="B537" t="s">
        <v>104</v>
      </c>
      <c r="C537" t="s">
        <v>97</v>
      </c>
      <c r="D537" t="s">
        <v>110</v>
      </c>
      <c r="E537">
        <v>35</v>
      </c>
      <c r="F537">
        <v>67</v>
      </c>
      <c r="G537">
        <v>130</v>
      </c>
      <c r="H537">
        <v>70</v>
      </c>
      <c r="I537" s="11">
        <v>8710</v>
      </c>
      <c r="J537" s="11">
        <v>4690</v>
      </c>
      <c r="K537" s="11">
        <v>4020</v>
      </c>
      <c r="L537" t="s">
        <v>81</v>
      </c>
      <c r="M537" t="s">
        <v>116</v>
      </c>
      <c r="N537" t="s">
        <v>124</v>
      </c>
    </row>
    <row r="538" spans="1:14">
      <c r="A538" s="20">
        <v>45640</v>
      </c>
      <c r="B538" t="s">
        <v>104</v>
      </c>
      <c r="C538" t="s">
        <v>96</v>
      </c>
      <c r="D538" t="s">
        <v>111</v>
      </c>
      <c r="E538">
        <v>18</v>
      </c>
      <c r="F538">
        <v>59</v>
      </c>
      <c r="G538">
        <v>90</v>
      </c>
      <c r="H538">
        <v>50</v>
      </c>
      <c r="I538" s="11">
        <v>5310</v>
      </c>
      <c r="J538" s="11">
        <v>2950</v>
      </c>
      <c r="K538" s="11">
        <v>2360</v>
      </c>
      <c r="L538" t="s">
        <v>89</v>
      </c>
      <c r="M538" t="s">
        <v>118</v>
      </c>
      <c r="N538" t="s">
        <v>122</v>
      </c>
    </row>
    <row r="539" spans="1:14">
      <c r="A539" s="20">
        <v>45349</v>
      </c>
      <c r="B539" t="s">
        <v>106</v>
      </c>
      <c r="C539" t="s">
        <v>98</v>
      </c>
      <c r="D539" t="s">
        <v>110</v>
      </c>
      <c r="E539">
        <v>34</v>
      </c>
      <c r="F539">
        <v>88</v>
      </c>
      <c r="G539">
        <v>100</v>
      </c>
      <c r="H539">
        <v>55</v>
      </c>
      <c r="I539" s="11">
        <v>8800</v>
      </c>
      <c r="J539" s="11">
        <v>4840</v>
      </c>
      <c r="K539" s="11">
        <v>3960</v>
      </c>
      <c r="L539" t="s">
        <v>79</v>
      </c>
      <c r="M539" t="s">
        <v>115</v>
      </c>
      <c r="N539" t="s">
        <v>124</v>
      </c>
    </row>
    <row r="540" spans="1:14">
      <c r="A540" s="20">
        <v>45396</v>
      </c>
      <c r="B540" t="s">
        <v>106</v>
      </c>
      <c r="C540" t="s">
        <v>94</v>
      </c>
      <c r="D540" t="s">
        <v>110</v>
      </c>
      <c r="E540">
        <v>36</v>
      </c>
      <c r="F540">
        <v>117</v>
      </c>
      <c r="G540">
        <v>80</v>
      </c>
      <c r="H540">
        <v>45</v>
      </c>
      <c r="I540" s="11">
        <v>9360</v>
      </c>
      <c r="J540" s="11">
        <v>5265</v>
      </c>
      <c r="K540" s="11">
        <v>4095</v>
      </c>
      <c r="L540" t="s">
        <v>81</v>
      </c>
      <c r="M540" t="s">
        <v>116</v>
      </c>
      <c r="N540" t="s">
        <v>125</v>
      </c>
    </row>
    <row r="541" spans="1:14">
      <c r="A541" s="20">
        <v>45547</v>
      </c>
      <c r="B541" t="s">
        <v>104</v>
      </c>
      <c r="C541" t="s">
        <v>93</v>
      </c>
      <c r="D541" t="s">
        <v>111</v>
      </c>
      <c r="E541">
        <v>28</v>
      </c>
      <c r="F541">
        <v>55</v>
      </c>
      <c r="G541">
        <v>100</v>
      </c>
      <c r="H541">
        <v>55</v>
      </c>
      <c r="I541" s="11">
        <v>5500</v>
      </c>
      <c r="J541" s="11">
        <v>3025</v>
      </c>
      <c r="K541" s="11">
        <v>2475</v>
      </c>
      <c r="L541" t="s">
        <v>86</v>
      </c>
      <c r="M541" t="s">
        <v>117</v>
      </c>
      <c r="N541" t="s">
        <v>123</v>
      </c>
    </row>
    <row r="542" spans="1:14">
      <c r="A542" s="20">
        <v>45400</v>
      </c>
      <c r="B542" t="s">
        <v>106</v>
      </c>
      <c r="C542" t="s">
        <v>93</v>
      </c>
      <c r="D542" t="s">
        <v>112</v>
      </c>
      <c r="E542">
        <v>36</v>
      </c>
      <c r="F542">
        <v>89</v>
      </c>
      <c r="G542">
        <v>100</v>
      </c>
      <c r="H542">
        <v>55</v>
      </c>
      <c r="I542" s="11">
        <v>8900</v>
      </c>
      <c r="J542" s="11">
        <v>4895</v>
      </c>
      <c r="K542" s="11">
        <v>4005</v>
      </c>
      <c r="L542" t="s">
        <v>81</v>
      </c>
      <c r="M542" t="s">
        <v>116</v>
      </c>
      <c r="N542" t="s">
        <v>125</v>
      </c>
    </row>
    <row r="543" spans="1:14">
      <c r="A543" s="20">
        <v>45423</v>
      </c>
      <c r="B543" t="s">
        <v>106</v>
      </c>
      <c r="C543" t="s">
        <v>98</v>
      </c>
      <c r="D543" t="s">
        <v>111</v>
      </c>
      <c r="E543">
        <v>39</v>
      </c>
      <c r="F543">
        <v>158</v>
      </c>
      <c r="G543">
        <v>100</v>
      </c>
      <c r="H543">
        <v>55</v>
      </c>
      <c r="I543" s="11">
        <v>15800</v>
      </c>
      <c r="J543" s="11">
        <v>8690</v>
      </c>
      <c r="K543" s="11">
        <v>7110</v>
      </c>
      <c r="L543" t="s">
        <v>82</v>
      </c>
      <c r="M543" t="s">
        <v>116</v>
      </c>
      <c r="N543" t="s">
        <v>125</v>
      </c>
    </row>
    <row r="544" spans="1:14">
      <c r="A544" s="20">
        <v>45332</v>
      </c>
      <c r="B544" t="s">
        <v>104</v>
      </c>
      <c r="C544" t="s">
        <v>93</v>
      </c>
      <c r="D544" t="s">
        <v>110</v>
      </c>
      <c r="E544">
        <v>28</v>
      </c>
      <c r="F544">
        <v>97</v>
      </c>
      <c r="G544">
        <v>100</v>
      </c>
      <c r="H544">
        <v>55</v>
      </c>
      <c r="I544" s="11">
        <v>9700</v>
      </c>
      <c r="J544" s="11">
        <v>5335</v>
      </c>
      <c r="K544" s="11">
        <v>4365</v>
      </c>
      <c r="L544" t="s">
        <v>79</v>
      </c>
      <c r="M544" t="s">
        <v>115</v>
      </c>
      <c r="N544" t="s">
        <v>123</v>
      </c>
    </row>
    <row r="545" spans="1:14">
      <c r="A545" s="20">
        <v>45486</v>
      </c>
      <c r="B545" t="s">
        <v>106</v>
      </c>
      <c r="C545" t="s">
        <v>94</v>
      </c>
      <c r="D545" t="s">
        <v>110</v>
      </c>
      <c r="E545">
        <v>27</v>
      </c>
      <c r="F545">
        <v>65</v>
      </c>
      <c r="G545">
        <v>80</v>
      </c>
      <c r="H545">
        <v>45</v>
      </c>
      <c r="I545" s="11">
        <v>5200</v>
      </c>
      <c r="J545" s="11">
        <v>2925</v>
      </c>
      <c r="K545" s="11">
        <v>2275</v>
      </c>
      <c r="L545" t="s">
        <v>84</v>
      </c>
      <c r="M545" t="s">
        <v>117</v>
      </c>
      <c r="N545" t="s">
        <v>123</v>
      </c>
    </row>
    <row r="546" spans="1:14">
      <c r="A546" s="20">
        <v>45315</v>
      </c>
      <c r="B546" t="s">
        <v>106</v>
      </c>
      <c r="C546" t="s">
        <v>93</v>
      </c>
      <c r="D546" t="s">
        <v>111</v>
      </c>
      <c r="E546">
        <v>24</v>
      </c>
      <c r="F546">
        <v>58</v>
      </c>
      <c r="G546">
        <v>100</v>
      </c>
      <c r="H546">
        <v>55</v>
      </c>
      <c r="I546" s="11">
        <v>5800</v>
      </c>
      <c r="J546" s="11">
        <v>3190</v>
      </c>
      <c r="K546" s="11">
        <v>2610</v>
      </c>
      <c r="L546" t="s">
        <v>78</v>
      </c>
      <c r="M546" t="s">
        <v>115</v>
      </c>
      <c r="N546" t="s">
        <v>122</v>
      </c>
    </row>
    <row r="547" spans="1:14">
      <c r="A547" s="20">
        <v>45472</v>
      </c>
      <c r="B547" t="s">
        <v>104</v>
      </c>
      <c r="C547" t="s">
        <v>93</v>
      </c>
      <c r="D547" t="s">
        <v>110</v>
      </c>
      <c r="E547">
        <v>40</v>
      </c>
      <c r="F547">
        <v>111</v>
      </c>
      <c r="G547">
        <v>100</v>
      </c>
      <c r="H547">
        <v>55</v>
      </c>
      <c r="I547" s="11">
        <v>11100</v>
      </c>
      <c r="J547" s="11">
        <v>6105</v>
      </c>
      <c r="K547" s="11">
        <v>4995</v>
      </c>
      <c r="L547" t="s">
        <v>83</v>
      </c>
      <c r="M547" t="s">
        <v>116</v>
      </c>
      <c r="N547" t="s">
        <v>125</v>
      </c>
    </row>
    <row r="548" spans="1:14">
      <c r="A548" s="20">
        <v>45604</v>
      </c>
      <c r="B548" t="s">
        <v>103</v>
      </c>
      <c r="C548" t="s">
        <v>96</v>
      </c>
      <c r="D548" t="s">
        <v>110</v>
      </c>
      <c r="E548">
        <v>25</v>
      </c>
      <c r="F548">
        <v>19</v>
      </c>
      <c r="G548">
        <v>90</v>
      </c>
      <c r="H548">
        <v>50</v>
      </c>
      <c r="I548" s="11">
        <v>1710</v>
      </c>
      <c r="J548" s="11">
        <v>950</v>
      </c>
      <c r="K548" s="11">
        <v>760</v>
      </c>
      <c r="L548" t="s">
        <v>88</v>
      </c>
      <c r="M548" t="s">
        <v>118</v>
      </c>
      <c r="N548" t="s">
        <v>123</v>
      </c>
    </row>
    <row r="549" spans="1:14">
      <c r="A549" s="20">
        <v>45394</v>
      </c>
      <c r="B549" t="s">
        <v>103</v>
      </c>
      <c r="C549" t="s">
        <v>93</v>
      </c>
      <c r="D549" t="s">
        <v>110</v>
      </c>
      <c r="E549">
        <v>35</v>
      </c>
      <c r="F549">
        <v>135</v>
      </c>
      <c r="G549">
        <v>100</v>
      </c>
      <c r="H549">
        <v>55</v>
      </c>
      <c r="I549" s="11">
        <v>13500</v>
      </c>
      <c r="J549" s="11">
        <v>7425</v>
      </c>
      <c r="K549" s="11">
        <v>6075</v>
      </c>
      <c r="L549" t="s">
        <v>81</v>
      </c>
      <c r="M549" t="s">
        <v>116</v>
      </c>
      <c r="N549" t="s">
        <v>124</v>
      </c>
    </row>
    <row r="550" spans="1:14">
      <c r="A550" s="20">
        <v>45623</v>
      </c>
      <c r="B550" t="s">
        <v>105</v>
      </c>
      <c r="C550" t="s">
        <v>94</v>
      </c>
      <c r="D550" t="s">
        <v>111</v>
      </c>
      <c r="E550">
        <v>24</v>
      </c>
      <c r="F550">
        <v>14</v>
      </c>
      <c r="G550">
        <v>80</v>
      </c>
      <c r="H550">
        <v>45</v>
      </c>
      <c r="I550" s="11">
        <v>1120</v>
      </c>
      <c r="J550" s="11">
        <v>630</v>
      </c>
      <c r="K550" s="11">
        <v>490</v>
      </c>
      <c r="L550" t="s">
        <v>88</v>
      </c>
      <c r="M550" t="s">
        <v>118</v>
      </c>
      <c r="N550" t="s">
        <v>122</v>
      </c>
    </row>
    <row r="551" spans="1:14">
      <c r="A551" s="20">
        <v>45605</v>
      </c>
      <c r="B551" t="s">
        <v>103</v>
      </c>
      <c r="C551" t="s">
        <v>93</v>
      </c>
      <c r="D551" t="s">
        <v>111</v>
      </c>
      <c r="E551">
        <v>20</v>
      </c>
      <c r="F551">
        <v>36</v>
      </c>
      <c r="G551">
        <v>100</v>
      </c>
      <c r="H551">
        <v>55</v>
      </c>
      <c r="I551" s="11">
        <v>3600</v>
      </c>
      <c r="J551" s="11">
        <v>1980</v>
      </c>
      <c r="K551" s="11">
        <v>1620</v>
      </c>
      <c r="L551" t="s">
        <v>88</v>
      </c>
      <c r="M551" t="s">
        <v>118</v>
      </c>
      <c r="N551" t="s">
        <v>122</v>
      </c>
    </row>
    <row r="552" spans="1:14">
      <c r="A552" s="20">
        <v>45497</v>
      </c>
      <c r="B552" t="s">
        <v>103</v>
      </c>
      <c r="C552" t="s">
        <v>94</v>
      </c>
      <c r="D552" t="s">
        <v>112</v>
      </c>
      <c r="E552">
        <v>33</v>
      </c>
      <c r="F552">
        <v>68</v>
      </c>
      <c r="G552">
        <v>80</v>
      </c>
      <c r="H552">
        <v>45</v>
      </c>
      <c r="I552" s="11">
        <v>5440</v>
      </c>
      <c r="J552" s="11">
        <v>3060</v>
      </c>
      <c r="K552" s="11">
        <v>2380</v>
      </c>
      <c r="L552" t="s">
        <v>84</v>
      </c>
      <c r="M552" t="s">
        <v>117</v>
      </c>
      <c r="N552" t="s">
        <v>124</v>
      </c>
    </row>
    <row r="553" spans="1:14">
      <c r="A553" s="20">
        <v>45313</v>
      </c>
      <c r="B553" t="s">
        <v>104</v>
      </c>
      <c r="C553" t="s">
        <v>93</v>
      </c>
      <c r="D553" t="s">
        <v>111</v>
      </c>
      <c r="E553">
        <v>27</v>
      </c>
      <c r="F553">
        <v>40</v>
      </c>
      <c r="G553">
        <v>100</v>
      </c>
      <c r="H553">
        <v>55</v>
      </c>
      <c r="I553" s="11">
        <v>4000</v>
      </c>
      <c r="J553" s="11">
        <v>2200</v>
      </c>
      <c r="K553" s="11">
        <v>1800</v>
      </c>
      <c r="L553" t="s">
        <v>78</v>
      </c>
      <c r="M553" t="s">
        <v>115</v>
      </c>
      <c r="N553" t="s">
        <v>123</v>
      </c>
    </row>
    <row r="554" spans="1:14">
      <c r="A554" s="20">
        <v>45493</v>
      </c>
      <c r="B554" t="s">
        <v>103</v>
      </c>
      <c r="C554" t="s">
        <v>94</v>
      </c>
      <c r="D554" t="s">
        <v>111</v>
      </c>
      <c r="E554">
        <v>31</v>
      </c>
      <c r="F554">
        <v>40</v>
      </c>
      <c r="G554">
        <v>80</v>
      </c>
      <c r="H554">
        <v>45</v>
      </c>
      <c r="I554" s="11">
        <v>3200</v>
      </c>
      <c r="J554" s="11">
        <v>1800</v>
      </c>
      <c r="K554" s="11">
        <v>1400</v>
      </c>
      <c r="L554" t="s">
        <v>84</v>
      </c>
      <c r="M554" t="s">
        <v>117</v>
      </c>
      <c r="N554" t="s">
        <v>124</v>
      </c>
    </row>
    <row r="555" spans="1:14">
      <c r="A555" s="20">
        <v>45564</v>
      </c>
      <c r="B555" t="s">
        <v>103</v>
      </c>
      <c r="C555" t="s">
        <v>96</v>
      </c>
      <c r="D555" t="s">
        <v>111</v>
      </c>
      <c r="E555">
        <v>30</v>
      </c>
      <c r="F555">
        <v>50</v>
      </c>
      <c r="G555">
        <v>90</v>
      </c>
      <c r="H555">
        <v>50</v>
      </c>
      <c r="I555" s="11">
        <v>4500</v>
      </c>
      <c r="J555" s="11">
        <v>2500</v>
      </c>
      <c r="K555" s="11">
        <v>2000</v>
      </c>
      <c r="L555" t="s">
        <v>86</v>
      </c>
      <c r="M555" t="s">
        <v>117</v>
      </c>
      <c r="N555" t="s">
        <v>123</v>
      </c>
    </row>
    <row r="556" spans="1:14">
      <c r="A556" s="20">
        <v>45393</v>
      </c>
      <c r="B556" t="s">
        <v>105</v>
      </c>
      <c r="C556" t="s">
        <v>95</v>
      </c>
      <c r="D556" t="s">
        <v>110</v>
      </c>
      <c r="E556">
        <v>40</v>
      </c>
      <c r="F556">
        <v>130</v>
      </c>
      <c r="G556">
        <v>110</v>
      </c>
      <c r="H556">
        <v>60</v>
      </c>
      <c r="I556" s="11">
        <v>14300</v>
      </c>
      <c r="J556" s="11">
        <v>7800</v>
      </c>
      <c r="K556" s="11">
        <v>6500</v>
      </c>
      <c r="L556" t="s">
        <v>81</v>
      </c>
      <c r="M556" t="s">
        <v>116</v>
      </c>
      <c r="N556" t="s">
        <v>125</v>
      </c>
    </row>
    <row r="557" spans="1:14">
      <c r="A557" s="20">
        <v>45379</v>
      </c>
      <c r="B557" t="s">
        <v>103</v>
      </c>
      <c r="C557" t="s">
        <v>94</v>
      </c>
      <c r="D557" t="s">
        <v>110</v>
      </c>
      <c r="E557">
        <v>38</v>
      </c>
      <c r="F557">
        <v>50</v>
      </c>
      <c r="G557">
        <v>80</v>
      </c>
      <c r="H557">
        <v>45</v>
      </c>
      <c r="I557" s="11">
        <v>4000</v>
      </c>
      <c r="J557" s="11">
        <v>2250</v>
      </c>
      <c r="K557" s="11">
        <v>1750</v>
      </c>
      <c r="L557" t="s">
        <v>80</v>
      </c>
      <c r="M557" t="s">
        <v>115</v>
      </c>
      <c r="N557" t="s">
        <v>125</v>
      </c>
    </row>
    <row r="558" spans="1:14">
      <c r="A558" s="20">
        <v>45458</v>
      </c>
      <c r="B558" t="s">
        <v>103</v>
      </c>
      <c r="C558" t="s">
        <v>98</v>
      </c>
      <c r="D558" t="s">
        <v>110</v>
      </c>
      <c r="E558">
        <v>37</v>
      </c>
      <c r="F558">
        <v>122</v>
      </c>
      <c r="G558">
        <v>100</v>
      </c>
      <c r="H558">
        <v>55</v>
      </c>
      <c r="I558" s="11">
        <v>12200</v>
      </c>
      <c r="J558" s="11">
        <v>6710</v>
      </c>
      <c r="K558" s="11">
        <v>5490</v>
      </c>
      <c r="L558" t="s">
        <v>83</v>
      </c>
      <c r="M558" t="s">
        <v>116</v>
      </c>
      <c r="N558" t="s">
        <v>125</v>
      </c>
    </row>
    <row r="559" spans="1:14">
      <c r="A559" s="20">
        <v>45553</v>
      </c>
      <c r="B559" t="s">
        <v>103</v>
      </c>
      <c r="C559" t="s">
        <v>95</v>
      </c>
      <c r="D559" t="s">
        <v>110</v>
      </c>
      <c r="E559">
        <v>32</v>
      </c>
      <c r="F559">
        <v>78</v>
      </c>
      <c r="G559">
        <v>110</v>
      </c>
      <c r="H559">
        <v>60</v>
      </c>
      <c r="I559" s="11">
        <v>8580</v>
      </c>
      <c r="J559" s="11">
        <v>4680</v>
      </c>
      <c r="K559" s="11">
        <v>3900</v>
      </c>
      <c r="L559" t="s">
        <v>86</v>
      </c>
      <c r="M559" t="s">
        <v>117</v>
      </c>
      <c r="N559" t="s">
        <v>124</v>
      </c>
    </row>
    <row r="560" spans="1:14">
      <c r="A560" s="20">
        <v>45483</v>
      </c>
      <c r="B560" t="s">
        <v>104</v>
      </c>
      <c r="C560" t="s">
        <v>93</v>
      </c>
      <c r="D560" t="s">
        <v>110</v>
      </c>
      <c r="E560">
        <v>29</v>
      </c>
      <c r="F560">
        <v>61</v>
      </c>
      <c r="G560">
        <v>100</v>
      </c>
      <c r="H560">
        <v>55</v>
      </c>
      <c r="I560" s="11">
        <v>6100</v>
      </c>
      <c r="J560" s="11">
        <v>3355</v>
      </c>
      <c r="K560" s="11">
        <v>2745</v>
      </c>
      <c r="L560" t="s">
        <v>84</v>
      </c>
      <c r="M560" t="s">
        <v>117</v>
      </c>
      <c r="N560" t="s">
        <v>123</v>
      </c>
    </row>
    <row r="561" spans="1:14">
      <c r="A561" s="20">
        <v>45630</v>
      </c>
      <c r="B561" t="s">
        <v>103</v>
      </c>
      <c r="C561" t="s">
        <v>95</v>
      </c>
      <c r="D561" t="s">
        <v>111</v>
      </c>
      <c r="E561">
        <v>19</v>
      </c>
      <c r="F561">
        <v>42</v>
      </c>
      <c r="G561">
        <v>110</v>
      </c>
      <c r="H561">
        <v>60</v>
      </c>
      <c r="I561" s="11">
        <v>4620</v>
      </c>
      <c r="J561" s="11">
        <v>2520</v>
      </c>
      <c r="K561" s="11">
        <v>2100</v>
      </c>
      <c r="L561" t="s">
        <v>89</v>
      </c>
      <c r="M561" t="s">
        <v>118</v>
      </c>
      <c r="N561" t="s">
        <v>122</v>
      </c>
    </row>
    <row r="562" spans="1:14">
      <c r="A562" s="20">
        <v>45480</v>
      </c>
      <c r="B562" t="s">
        <v>104</v>
      </c>
      <c r="C562" t="s">
        <v>94</v>
      </c>
      <c r="D562" t="s">
        <v>111</v>
      </c>
      <c r="E562">
        <v>34</v>
      </c>
      <c r="F562">
        <v>35</v>
      </c>
      <c r="G562">
        <v>80</v>
      </c>
      <c r="H562">
        <v>45</v>
      </c>
      <c r="I562" s="11">
        <v>2800</v>
      </c>
      <c r="J562" s="11">
        <v>1575</v>
      </c>
      <c r="K562" s="11">
        <v>1225</v>
      </c>
      <c r="L562" t="s">
        <v>84</v>
      </c>
      <c r="M562" t="s">
        <v>117</v>
      </c>
      <c r="N562" t="s">
        <v>124</v>
      </c>
    </row>
    <row r="563" spans="1:14">
      <c r="A563" s="20">
        <v>45459</v>
      </c>
      <c r="B563" t="s">
        <v>104</v>
      </c>
      <c r="C563" t="s">
        <v>94</v>
      </c>
      <c r="D563" t="s">
        <v>111</v>
      </c>
      <c r="E563">
        <v>39</v>
      </c>
      <c r="F563">
        <v>183</v>
      </c>
      <c r="G563">
        <v>80</v>
      </c>
      <c r="H563">
        <v>45</v>
      </c>
      <c r="I563" s="11">
        <v>14640</v>
      </c>
      <c r="J563" s="11">
        <v>8235</v>
      </c>
      <c r="K563" s="11">
        <v>6405</v>
      </c>
      <c r="L563" t="s">
        <v>83</v>
      </c>
      <c r="M563" t="s">
        <v>116</v>
      </c>
      <c r="N563" t="s">
        <v>125</v>
      </c>
    </row>
    <row r="564" spans="1:14">
      <c r="A564" s="20">
        <v>45304</v>
      </c>
      <c r="B564" t="s">
        <v>105</v>
      </c>
      <c r="C564" t="s">
        <v>97</v>
      </c>
      <c r="D564" t="s">
        <v>112</v>
      </c>
      <c r="E564">
        <v>27</v>
      </c>
      <c r="F564">
        <v>25</v>
      </c>
      <c r="G564">
        <v>130</v>
      </c>
      <c r="H564">
        <v>70</v>
      </c>
      <c r="I564" s="11">
        <v>3250</v>
      </c>
      <c r="J564" s="11">
        <v>1750</v>
      </c>
      <c r="K564" s="11">
        <v>1500</v>
      </c>
      <c r="L564" t="s">
        <v>78</v>
      </c>
      <c r="M564" t="s">
        <v>115</v>
      </c>
      <c r="N564" t="s">
        <v>123</v>
      </c>
    </row>
    <row r="565" spans="1:14">
      <c r="A565" s="20">
        <v>45380</v>
      </c>
      <c r="B565" t="s">
        <v>103</v>
      </c>
      <c r="C565" t="s">
        <v>94</v>
      </c>
      <c r="D565" t="s">
        <v>110</v>
      </c>
      <c r="E565">
        <v>37</v>
      </c>
      <c r="F565">
        <v>169</v>
      </c>
      <c r="G565">
        <v>80</v>
      </c>
      <c r="H565">
        <v>45</v>
      </c>
      <c r="I565" s="11">
        <v>13520</v>
      </c>
      <c r="J565" s="11">
        <v>7605</v>
      </c>
      <c r="K565" s="11">
        <v>5915</v>
      </c>
      <c r="L565" t="s">
        <v>80</v>
      </c>
      <c r="M565" t="s">
        <v>115</v>
      </c>
      <c r="N565" t="s">
        <v>125</v>
      </c>
    </row>
    <row r="566" spans="1:14">
      <c r="A566" s="20">
        <v>45604</v>
      </c>
      <c r="B566" t="s">
        <v>103</v>
      </c>
      <c r="C566" t="s">
        <v>95</v>
      </c>
      <c r="D566" t="s">
        <v>111</v>
      </c>
      <c r="E566">
        <v>19</v>
      </c>
      <c r="F566">
        <v>12</v>
      </c>
      <c r="G566">
        <v>110</v>
      </c>
      <c r="H566">
        <v>60</v>
      </c>
      <c r="I566" s="11">
        <v>1320</v>
      </c>
      <c r="J566" s="11">
        <v>720</v>
      </c>
      <c r="K566" s="11">
        <v>600</v>
      </c>
      <c r="L566" t="s">
        <v>88</v>
      </c>
      <c r="M566" t="s">
        <v>118</v>
      </c>
      <c r="N566" t="s">
        <v>122</v>
      </c>
    </row>
    <row r="567" spans="1:14">
      <c r="A567" s="20">
        <v>45563</v>
      </c>
      <c r="B567" t="s">
        <v>105</v>
      </c>
      <c r="C567" t="s">
        <v>97</v>
      </c>
      <c r="D567" t="s">
        <v>110</v>
      </c>
      <c r="E567">
        <v>26</v>
      </c>
      <c r="F567">
        <v>101</v>
      </c>
      <c r="G567">
        <v>130</v>
      </c>
      <c r="H567">
        <v>70</v>
      </c>
      <c r="I567" s="11">
        <v>13130</v>
      </c>
      <c r="J567" s="11">
        <v>7070</v>
      </c>
      <c r="K567" s="11">
        <v>6060</v>
      </c>
      <c r="L567" t="s">
        <v>86</v>
      </c>
      <c r="M567" t="s">
        <v>117</v>
      </c>
      <c r="N567" t="s">
        <v>123</v>
      </c>
    </row>
    <row r="568" spans="1:14">
      <c r="A568" s="20">
        <v>45404</v>
      </c>
      <c r="B568" t="s">
        <v>104</v>
      </c>
      <c r="C568" t="s">
        <v>94</v>
      </c>
      <c r="D568" t="s">
        <v>110</v>
      </c>
      <c r="E568">
        <v>32</v>
      </c>
      <c r="F568">
        <v>189</v>
      </c>
      <c r="G568">
        <v>80</v>
      </c>
      <c r="H568">
        <v>45</v>
      </c>
      <c r="I568" s="11">
        <v>15120</v>
      </c>
      <c r="J568" s="11">
        <v>8505</v>
      </c>
      <c r="K568" s="11">
        <v>6615</v>
      </c>
      <c r="L568" t="s">
        <v>81</v>
      </c>
      <c r="M568" t="s">
        <v>116</v>
      </c>
      <c r="N568" t="s">
        <v>124</v>
      </c>
    </row>
    <row r="569" spans="1:14">
      <c r="A569" s="20">
        <v>45388</v>
      </c>
      <c r="B569" t="s">
        <v>106</v>
      </c>
      <c r="C569" t="s">
        <v>93</v>
      </c>
      <c r="D569" t="s">
        <v>111</v>
      </c>
      <c r="E569">
        <v>32</v>
      </c>
      <c r="F569">
        <v>169</v>
      </c>
      <c r="G569">
        <v>100</v>
      </c>
      <c r="H569">
        <v>55</v>
      </c>
      <c r="I569" s="11">
        <v>16900</v>
      </c>
      <c r="J569" s="11">
        <v>9295</v>
      </c>
      <c r="K569" s="11">
        <v>7605</v>
      </c>
      <c r="L569" t="s">
        <v>81</v>
      </c>
      <c r="M569" t="s">
        <v>116</v>
      </c>
      <c r="N569" t="s">
        <v>124</v>
      </c>
    </row>
    <row r="570" spans="1:14">
      <c r="A570" s="20">
        <v>45609</v>
      </c>
      <c r="B570" t="s">
        <v>103</v>
      </c>
      <c r="C570" t="s">
        <v>94</v>
      </c>
      <c r="D570" t="s">
        <v>111</v>
      </c>
      <c r="E570">
        <v>24</v>
      </c>
      <c r="F570">
        <v>11</v>
      </c>
      <c r="G570">
        <v>80</v>
      </c>
      <c r="H570">
        <v>45</v>
      </c>
      <c r="I570" s="11">
        <v>880</v>
      </c>
      <c r="J570" s="11">
        <v>495</v>
      </c>
      <c r="K570" s="11">
        <v>385</v>
      </c>
      <c r="L570" t="s">
        <v>88</v>
      </c>
      <c r="M570" t="s">
        <v>118</v>
      </c>
      <c r="N570" t="s">
        <v>122</v>
      </c>
    </row>
    <row r="571" spans="1:14">
      <c r="A571" s="20">
        <v>45580</v>
      </c>
      <c r="B571" t="s">
        <v>105</v>
      </c>
      <c r="C571" t="s">
        <v>96</v>
      </c>
      <c r="D571" t="s">
        <v>111</v>
      </c>
      <c r="E571">
        <v>32</v>
      </c>
      <c r="F571">
        <v>43</v>
      </c>
      <c r="G571">
        <v>90</v>
      </c>
      <c r="H571">
        <v>50</v>
      </c>
      <c r="I571" s="11">
        <v>3870</v>
      </c>
      <c r="J571" s="11">
        <v>2150</v>
      </c>
      <c r="K571" s="11">
        <v>1720</v>
      </c>
      <c r="L571" t="s">
        <v>87</v>
      </c>
      <c r="M571" t="s">
        <v>118</v>
      </c>
      <c r="N571" t="s">
        <v>124</v>
      </c>
    </row>
    <row r="572" spans="1:14">
      <c r="A572" s="20">
        <v>45419</v>
      </c>
      <c r="B572" t="s">
        <v>103</v>
      </c>
      <c r="C572" t="s">
        <v>95</v>
      </c>
      <c r="D572" t="s">
        <v>110</v>
      </c>
      <c r="E572">
        <v>41</v>
      </c>
      <c r="F572">
        <v>131</v>
      </c>
      <c r="G572">
        <v>110</v>
      </c>
      <c r="H572">
        <v>60</v>
      </c>
      <c r="I572" s="11">
        <v>14410</v>
      </c>
      <c r="J572" s="11">
        <v>7860</v>
      </c>
      <c r="K572" s="11">
        <v>6550</v>
      </c>
      <c r="L572" t="s">
        <v>82</v>
      </c>
      <c r="M572" t="s">
        <v>116</v>
      </c>
      <c r="N572" t="s">
        <v>125</v>
      </c>
    </row>
    <row r="573" spans="1:14">
      <c r="A573" s="20">
        <v>45652</v>
      </c>
      <c r="B573" t="s">
        <v>103</v>
      </c>
      <c r="C573" t="s">
        <v>97</v>
      </c>
      <c r="D573" t="s">
        <v>111</v>
      </c>
      <c r="E573">
        <v>19</v>
      </c>
      <c r="F573">
        <v>26</v>
      </c>
      <c r="G573">
        <v>130</v>
      </c>
      <c r="H573">
        <v>70</v>
      </c>
      <c r="I573" s="11">
        <v>3380</v>
      </c>
      <c r="J573" s="11">
        <v>1820</v>
      </c>
      <c r="K573" s="11">
        <v>1560</v>
      </c>
      <c r="L573" t="s">
        <v>89</v>
      </c>
      <c r="M573" t="s">
        <v>118</v>
      </c>
      <c r="N573" t="s">
        <v>122</v>
      </c>
    </row>
    <row r="574" spans="1:14">
      <c r="A574" s="20">
        <v>45297</v>
      </c>
      <c r="B574" t="s">
        <v>106</v>
      </c>
      <c r="C574" t="s">
        <v>96</v>
      </c>
      <c r="D574" t="s">
        <v>111</v>
      </c>
      <c r="E574">
        <v>27</v>
      </c>
      <c r="F574">
        <v>27</v>
      </c>
      <c r="G574">
        <v>90</v>
      </c>
      <c r="H574">
        <v>50</v>
      </c>
      <c r="I574" s="11">
        <v>2430</v>
      </c>
      <c r="J574" s="11">
        <v>1350</v>
      </c>
      <c r="K574" s="11">
        <v>1080</v>
      </c>
      <c r="L574" t="s">
        <v>78</v>
      </c>
      <c r="M574" t="s">
        <v>115</v>
      </c>
      <c r="N574" t="s">
        <v>123</v>
      </c>
    </row>
    <row r="575" spans="1:14">
      <c r="A575" s="20">
        <v>45510</v>
      </c>
      <c r="B575" t="s">
        <v>103</v>
      </c>
      <c r="C575" t="s">
        <v>96</v>
      </c>
      <c r="D575" t="s">
        <v>111</v>
      </c>
      <c r="E575">
        <v>27</v>
      </c>
      <c r="F575">
        <v>64</v>
      </c>
      <c r="G575">
        <v>90</v>
      </c>
      <c r="H575">
        <v>50</v>
      </c>
      <c r="I575" s="11">
        <v>5760</v>
      </c>
      <c r="J575" s="11">
        <v>3200</v>
      </c>
      <c r="K575" s="11">
        <v>2560</v>
      </c>
      <c r="L575" t="s">
        <v>85</v>
      </c>
      <c r="M575" t="s">
        <v>117</v>
      </c>
      <c r="N575" t="s">
        <v>123</v>
      </c>
    </row>
    <row r="576" spans="1:14">
      <c r="A576" s="20">
        <v>45415</v>
      </c>
      <c r="B576" t="s">
        <v>105</v>
      </c>
      <c r="C576" t="s">
        <v>96</v>
      </c>
      <c r="D576" t="s">
        <v>110</v>
      </c>
      <c r="E576">
        <v>37</v>
      </c>
      <c r="F576">
        <v>88</v>
      </c>
      <c r="G576">
        <v>90</v>
      </c>
      <c r="H576">
        <v>50</v>
      </c>
      <c r="I576" s="11">
        <v>7920</v>
      </c>
      <c r="J576" s="11">
        <v>4400</v>
      </c>
      <c r="K576" s="11">
        <v>3520</v>
      </c>
      <c r="L576" t="s">
        <v>82</v>
      </c>
      <c r="M576" t="s">
        <v>116</v>
      </c>
      <c r="N576" t="s">
        <v>125</v>
      </c>
    </row>
    <row r="577" spans="1:14">
      <c r="A577" s="20">
        <v>45311</v>
      </c>
      <c r="B577" t="s">
        <v>103</v>
      </c>
      <c r="C577" t="s">
        <v>93</v>
      </c>
      <c r="D577" t="s">
        <v>111</v>
      </c>
      <c r="E577">
        <v>20</v>
      </c>
      <c r="F577">
        <v>29</v>
      </c>
      <c r="G577">
        <v>100</v>
      </c>
      <c r="H577">
        <v>55</v>
      </c>
      <c r="I577" s="11">
        <v>2900</v>
      </c>
      <c r="J577" s="11">
        <v>1595</v>
      </c>
      <c r="K577" s="11">
        <v>1305</v>
      </c>
      <c r="L577" t="s">
        <v>78</v>
      </c>
      <c r="M577" t="s">
        <v>115</v>
      </c>
      <c r="N577" t="s">
        <v>122</v>
      </c>
    </row>
    <row r="578" spans="1:14">
      <c r="A578" s="20">
        <v>45613</v>
      </c>
      <c r="B578" t="s">
        <v>103</v>
      </c>
      <c r="C578" t="s">
        <v>93</v>
      </c>
      <c r="D578" t="s">
        <v>112</v>
      </c>
      <c r="E578">
        <v>27</v>
      </c>
      <c r="F578">
        <v>24</v>
      </c>
      <c r="G578">
        <v>100</v>
      </c>
      <c r="H578">
        <v>55</v>
      </c>
      <c r="I578" s="11">
        <v>2400</v>
      </c>
      <c r="J578" s="11">
        <v>1320</v>
      </c>
      <c r="K578" s="11">
        <v>1080</v>
      </c>
      <c r="L578" t="s">
        <v>88</v>
      </c>
      <c r="M578" t="s">
        <v>118</v>
      </c>
      <c r="N578" t="s">
        <v>123</v>
      </c>
    </row>
    <row r="579" spans="1:14">
      <c r="A579" s="20">
        <v>45364</v>
      </c>
      <c r="B579" t="s">
        <v>105</v>
      </c>
      <c r="C579" t="s">
        <v>95</v>
      </c>
      <c r="D579" t="s">
        <v>110</v>
      </c>
      <c r="E579">
        <v>33</v>
      </c>
      <c r="F579">
        <v>149</v>
      </c>
      <c r="G579">
        <v>110</v>
      </c>
      <c r="H579">
        <v>60</v>
      </c>
      <c r="I579" s="11">
        <v>16390</v>
      </c>
      <c r="J579" s="11">
        <v>8940</v>
      </c>
      <c r="K579" s="11">
        <v>7450</v>
      </c>
      <c r="L579" t="s">
        <v>80</v>
      </c>
      <c r="M579" t="s">
        <v>115</v>
      </c>
      <c r="N579" t="s">
        <v>124</v>
      </c>
    </row>
    <row r="580" spans="1:14">
      <c r="A580" s="20">
        <v>45356</v>
      </c>
      <c r="B580" t="s">
        <v>104</v>
      </c>
      <c r="C580" t="s">
        <v>94</v>
      </c>
      <c r="D580" t="s">
        <v>111</v>
      </c>
      <c r="E580">
        <v>37</v>
      </c>
      <c r="F580">
        <v>108</v>
      </c>
      <c r="G580">
        <v>80</v>
      </c>
      <c r="H580">
        <v>45</v>
      </c>
      <c r="I580" s="11">
        <v>8640</v>
      </c>
      <c r="J580" s="11">
        <v>4860</v>
      </c>
      <c r="K580" s="11">
        <v>3780</v>
      </c>
      <c r="L580" t="s">
        <v>80</v>
      </c>
      <c r="M580" t="s">
        <v>115</v>
      </c>
      <c r="N580" t="s">
        <v>125</v>
      </c>
    </row>
    <row r="581" spans="1:14">
      <c r="A581" s="20">
        <v>45339</v>
      </c>
      <c r="B581" t="s">
        <v>105</v>
      </c>
      <c r="C581" t="s">
        <v>94</v>
      </c>
      <c r="D581" t="s">
        <v>111</v>
      </c>
      <c r="E581">
        <v>34</v>
      </c>
      <c r="F581">
        <v>59</v>
      </c>
      <c r="G581">
        <v>80</v>
      </c>
      <c r="H581">
        <v>45</v>
      </c>
      <c r="I581" s="11">
        <v>4720</v>
      </c>
      <c r="J581" s="11">
        <v>2655</v>
      </c>
      <c r="K581" s="11">
        <v>2065</v>
      </c>
      <c r="L581" t="s">
        <v>79</v>
      </c>
      <c r="M581" t="s">
        <v>115</v>
      </c>
      <c r="N581" t="s">
        <v>124</v>
      </c>
    </row>
    <row r="582" spans="1:14">
      <c r="A582" s="20">
        <v>45575</v>
      </c>
      <c r="B582" t="s">
        <v>104</v>
      </c>
      <c r="C582" t="s">
        <v>96</v>
      </c>
      <c r="D582" t="s">
        <v>112</v>
      </c>
      <c r="E582">
        <v>29</v>
      </c>
      <c r="F582">
        <v>38</v>
      </c>
      <c r="G582">
        <v>90</v>
      </c>
      <c r="H582">
        <v>50</v>
      </c>
      <c r="I582" s="11">
        <v>3420</v>
      </c>
      <c r="J582" s="11">
        <v>1900</v>
      </c>
      <c r="K582" s="11">
        <v>1520</v>
      </c>
      <c r="L582" t="s">
        <v>87</v>
      </c>
      <c r="M582" t="s">
        <v>118</v>
      </c>
      <c r="N582" t="s">
        <v>123</v>
      </c>
    </row>
    <row r="583" spans="1:14">
      <c r="A583" s="20">
        <v>45374</v>
      </c>
      <c r="B583" t="s">
        <v>104</v>
      </c>
      <c r="C583" t="s">
        <v>97</v>
      </c>
      <c r="D583" t="s">
        <v>111</v>
      </c>
      <c r="E583">
        <v>37</v>
      </c>
      <c r="F583">
        <v>155</v>
      </c>
      <c r="G583">
        <v>130</v>
      </c>
      <c r="H583">
        <v>70</v>
      </c>
      <c r="I583" s="11">
        <v>20150</v>
      </c>
      <c r="J583" s="11">
        <v>10850</v>
      </c>
      <c r="K583" s="11">
        <v>9300</v>
      </c>
      <c r="L583" t="s">
        <v>80</v>
      </c>
      <c r="M583" t="s">
        <v>115</v>
      </c>
      <c r="N583" t="s">
        <v>125</v>
      </c>
    </row>
    <row r="584" spans="1:14">
      <c r="A584" s="20">
        <v>45467</v>
      </c>
      <c r="B584" t="s">
        <v>104</v>
      </c>
      <c r="C584" t="s">
        <v>95</v>
      </c>
      <c r="D584" t="s">
        <v>111</v>
      </c>
      <c r="E584">
        <v>40</v>
      </c>
      <c r="F584">
        <v>134</v>
      </c>
      <c r="G584">
        <v>110</v>
      </c>
      <c r="H584">
        <v>60</v>
      </c>
      <c r="I584" s="11">
        <v>14740</v>
      </c>
      <c r="J584" s="11">
        <v>8040</v>
      </c>
      <c r="K584" s="11">
        <v>6700</v>
      </c>
      <c r="L584" t="s">
        <v>83</v>
      </c>
      <c r="M584" t="s">
        <v>116</v>
      </c>
      <c r="N584" t="s">
        <v>125</v>
      </c>
    </row>
    <row r="585" spans="1:14">
      <c r="A585" s="20">
        <v>45562</v>
      </c>
      <c r="B585" t="s">
        <v>104</v>
      </c>
      <c r="C585" t="s">
        <v>98</v>
      </c>
      <c r="D585" t="s">
        <v>110</v>
      </c>
      <c r="E585">
        <v>33</v>
      </c>
      <c r="F585">
        <v>48</v>
      </c>
      <c r="G585">
        <v>100</v>
      </c>
      <c r="H585">
        <v>55</v>
      </c>
      <c r="I585" s="11">
        <v>4800</v>
      </c>
      <c r="J585" s="11">
        <v>2640</v>
      </c>
      <c r="K585" s="11">
        <v>2160</v>
      </c>
      <c r="L585" t="s">
        <v>86</v>
      </c>
      <c r="M585" t="s">
        <v>117</v>
      </c>
      <c r="N585" t="s">
        <v>124</v>
      </c>
    </row>
    <row r="586" spans="1:14">
      <c r="A586" s="20">
        <v>45639</v>
      </c>
      <c r="B586" t="s">
        <v>105</v>
      </c>
      <c r="C586" t="s">
        <v>96</v>
      </c>
      <c r="D586" t="s">
        <v>110</v>
      </c>
      <c r="E586">
        <v>25</v>
      </c>
      <c r="F586">
        <v>29</v>
      </c>
      <c r="G586">
        <v>90</v>
      </c>
      <c r="H586">
        <v>50</v>
      </c>
      <c r="I586" s="11">
        <v>2610</v>
      </c>
      <c r="J586" s="11">
        <v>1450</v>
      </c>
      <c r="K586" s="11">
        <v>1160</v>
      </c>
      <c r="L586" t="s">
        <v>89</v>
      </c>
      <c r="M586" t="s">
        <v>118</v>
      </c>
      <c r="N586" t="s">
        <v>123</v>
      </c>
    </row>
    <row r="587" spans="1:14">
      <c r="A587" s="20">
        <v>45330</v>
      </c>
      <c r="B587" t="s">
        <v>106</v>
      </c>
      <c r="C587" t="s">
        <v>94</v>
      </c>
      <c r="D587" t="s">
        <v>111</v>
      </c>
      <c r="E587">
        <v>26</v>
      </c>
      <c r="F587">
        <v>76</v>
      </c>
      <c r="G587">
        <v>80</v>
      </c>
      <c r="H587">
        <v>45</v>
      </c>
      <c r="I587" s="11">
        <v>6080</v>
      </c>
      <c r="J587" s="11">
        <v>3420</v>
      </c>
      <c r="K587" s="11">
        <v>2660</v>
      </c>
      <c r="L587" t="s">
        <v>79</v>
      </c>
      <c r="M587" t="s">
        <v>115</v>
      </c>
      <c r="N587" t="s">
        <v>123</v>
      </c>
    </row>
    <row r="588" spans="1:14">
      <c r="A588" s="20">
        <v>45657</v>
      </c>
      <c r="B588" t="s">
        <v>103</v>
      </c>
      <c r="C588" t="s">
        <v>93</v>
      </c>
      <c r="D588" t="s">
        <v>110</v>
      </c>
      <c r="E588">
        <v>20</v>
      </c>
      <c r="F588">
        <v>59</v>
      </c>
      <c r="G588">
        <v>100</v>
      </c>
      <c r="H588">
        <v>55</v>
      </c>
      <c r="I588" s="11">
        <v>5900</v>
      </c>
      <c r="J588" s="11">
        <v>3245</v>
      </c>
      <c r="K588" s="11">
        <v>2655</v>
      </c>
      <c r="L588" t="s">
        <v>89</v>
      </c>
      <c r="M588" t="s">
        <v>118</v>
      </c>
      <c r="N588" t="s">
        <v>122</v>
      </c>
    </row>
    <row r="589" spans="1:14">
      <c r="A589" s="20">
        <v>45609</v>
      </c>
      <c r="B589" t="s">
        <v>105</v>
      </c>
      <c r="C589" t="s">
        <v>96</v>
      </c>
      <c r="D589" t="s">
        <v>110</v>
      </c>
      <c r="E589">
        <v>24</v>
      </c>
      <c r="F589">
        <v>57</v>
      </c>
      <c r="G589">
        <v>90</v>
      </c>
      <c r="H589">
        <v>50</v>
      </c>
      <c r="I589" s="11">
        <v>5130</v>
      </c>
      <c r="J589" s="11">
        <v>2850</v>
      </c>
      <c r="K589" s="11">
        <v>2280</v>
      </c>
      <c r="L589" t="s">
        <v>88</v>
      </c>
      <c r="M589" t="s">
        <v>118</v>
      </c>
      <c r="N589" t="s">
        <v>122</v>
      </c>
    </row>
    <row r="590" spans="1:14">
      <c r="A590" s="20">
        <v>45429</v>
      </c>
      <c r="B590" t="s">
        <v>104</v>
      </c>
      <c r="C590" t="s">
        <v>98</v>
      </c>
      <c r="D590" t="s">
        <v>110</v>
      </c>
      <c r="E590">
        <v>39</v>
      </c>
      <c r="F590">
        <v>112</v>
      </c>
      <c r="G590">
        <v>100</v>
      </c>
      <c r="H590">
        <v>55</v>
      </c>
      <c r="I590" s="11">
        <v>11200</v>
      </c>
      <c r="J590" s="11">
        <v>6160</v>
      </c>
      <c r="K590" s="11">
        <v>5040</v>
      </c>
      <c r="L590" t="s">
        <v>82</v>
      </c>
      <c r="M590" t="s">
        <v>116</v>
      </c>
      <c r="N590" t="s">
        <v>125</v>
      </c>
    </row>
    <row r="591" spans="1:14">
      <c r="A591" s="20">
        <v>45465</v>
      </c>
      <c r="B591" t="s">
        <v>104</v>
      </c>
      <c r="C591" t="s">
        <v>93</v>
      </c>
      <c r="D591" t="s">
        <v>110</v>
      </c>
      <c r="E591">
        <v>39</v>
      </c>
      <c r="F591">
        <v>140</v>
      </c>
      <c r="G591">
        <v>100</v>
      </c>
      <c r="H591">
        <v>55</v>
      </c>
      <c r="I591" s="11">
        <v>14000</v>
      </c>
      <c r="J591" s="11">
        <v>7700</v>
      </c>
      <c r="K591" s="11">
        <v>6300</v>
      </c>
      <c r="L591" t="s">
        <v>83</v>
      </c>
      <c r="M591" t="s">
        <v>116</v>
      </c>
      <c r="N591" t="s">
        <v>125</v>
      </c>
    </row>
    <row r="592" spans="1:14">
      <c r="A592" s="20">
        <v>45470</v>
      </c>
      <c r="B592" t="s">
        <v>104</v>
      </c>
      <c r="C592" t="s">
        <v>95</v>
      </c>
      <c r="D592" t="s">
        <v>110</v>
      </c>
      <c r="E592">
        <v>40</v>
      </c>
      <c r="F592">
        <v>156</v>
      </c>
      <c r="G592">
        <v>110</v>
      </c>
      <c r="H592">
        <v>60</v>
      </c>
      <c r="I592" s="11">
        <v>17160</v>
      </c>
      <c r="J592" s="11">
        <v>9360</v>
      </c>
      <c r="K592" s="11">
        <v>7800</v>
      </c>
      <c r="L592" t="s">
        <v>83</v>
      </c>
      <c r="M592" t="s">
        <v>116</v>
      </c>
      <c r="N592" t="s">
        <v>125</v>
      </c>
    </row>
    <row r="593" spans="1:14">
      <c r="A593" s="20">
        <v>45586</v>
      </c>
      <c r="B593" t="s">
        <v>104</v>
      </c>
      <c r="C593" t="s">
        <v>93</v>
      </c>
      <c r="D593" t="s">
        <v>112</v>
      </c>
      <c r="E593">
        <v>27</v>
      </c>
      <c r="F593">
        <v>38</v>
      </c>
      <c r="G593">
        <v>100</v>
      </c>
      <c r="H593">
        <v>55</v>
      </c>
      <c r="I593" s="11">
        <v>3800</v>
      </c>
      <c r="J593" s="11">
        <v>2090</v>
      </c>
      <c r="K593" s="11">
        <v>1710</v>
      </c>
      <c r="L593" t="s">
        <v>87</v>
      </c>
      <c r="M593" t="s">
        <v>118</v>
      </c>
      <c r="N593" t="s">
        <v>123</v>
      </c>
    </row>
    <row r="594" spans="1:14">
      <c r="A594" s="20">
        <v>45347</v>
      </c>
      <c r="B594" t="s">
        <v>104</v>
      </c>
      <c r="C594" t="s">
        <v>95</v>
      </c>
      <c r="D594" t="s">
        <v>112</v>
      </c>
      <c r="E594">
        <v>31</v>
      </c>
      <c r="F594">
        <v>89</v>
      </c>
      <c r="G594">
        <v>110</v>
      </c>
      <c r="H594">
        <v>60</v>
      </c>
      <c r="I594" s="11">
        <v>9790</v>
      </c>
      <c r="J594" s="11">
        <v>5340</v>
      </c>
      <c r="K594" s="11">
        <v>4450</v>
      </c>
      <c r="L594" t="s">
        <v>79</v>
      </c>
      <c r="M594" t="s">
        <v>115</v>
      </c>
      <c r="N594" t="s">
        <v>124</v>
      </c>
    </row>
    <row r="595" spans="1:14">
      <c r="A595" s="20">
        <v>45459</v>
      </c>
      <c r="B595" t="s">
        <v>105</v>
      </c>
      <c r="C595" t="s">
        <v>93</v>
      </c>
      <c r="D595" t="s">
        <v>112</v>
      </c>
      <c r="E595">
        <v>33</v>
      </c>
      <c r="F595">
        <v>141</v>
      </c>
      <c r="G595">
        <v>100</v>
      </c>
      <c r="H595">
        <v>55</v>
      </c>
      <c r="I595" s="11">
        <v>14100</v>
      </c>
      <c r="J595" s="11">
        <v>7755</v>
      </c>
      <c r="K595" s="11">
        <v>6345</v>
      </c>
      <c r="L595" t="s">
        <v>83</v>
      </c>
      <c r="M595" t="s">
        <v>116</v>
      </c>
      <c r="N595" t="s">
        <v>124</v>
      </c>
    </row>
    <row r="596" spans="1:14">
      <c r="A596" s="20">
        <v>45645</v>
      </c>
      <c r="B596" t="s">
        <v>105</v>
      </c>
      <c r="C596" t="s">
        <v>96</v>
      </c>
      <c r="D596" t="s">
        <v>111</v>
      </c>
      <c r="E596">
        <v>21</v>
      </c>
      <c r="F596">
        <v>22</v>
      </c>
      <c r="G596">
        <v>90</v>
      </c>
      <c r="H596">
        <v>50</v>
      </c>
      <c r="I596" s="11">
        <v>1980</v>
      </c>
      <c r="J596" s="11">
        <v>1100</v>
      </c>
      <c r="K596" s="11">
        <v>880</v>
      </c>
      <c r="L596" t="s">
        <v>89</v>
      </c>
      <c r="M596" t="s">
        <v>118</v>
      </c>
      <c r="N596" t="s">
        <v>122</v>
      </c>
    </row>
    <row r="597" spans="1:14">
      <c r="A597" s="20">
        <v>45505</v>
      </c>
      <c r="B597" t="s">
        <v>103</v>
      </c>
      <c r="C597" t="s">
        <v>96</v>
      </c>
      <c r="D597" t="s">
        <v>110</v>
      </c>
      <c r="E597">
        <v>26</v>
      </c>
      <c r="F597">
        <v>97</v>
      </c>
      <c r="G597">
        <v>90</v>
      </c>
      <c r="H597">
        <v>50</v>
      </c>
      <c r="I597" s="11">
        <v>8730</v>
      </c>
      <c r="J597" s="11">
        <v>4850</v>
      </c>
      <c r="K597" s="11">
        <v>3880</v>
      </c>
      <c r="L597" t="s">
        <v>85</v>
      </c>
      <c r="M597" t="s">
        <v>117</v>
      </c>
      <c r="N597" t="s">
        <v>123</v>
      </c>
    </row>
    <row r="598" spans="1:14">
      <c r="A598" s="20">
        <v>45602</v>
      </c>
      <c r="B598" t="s">
        <v>103</v>
      </c>
      <c r="C598" t="s">
        <v>95</v>
      </c>
      <c r="D598" t="s">
        <v>110</v>
      </c>
      <c r="E598">
        <v>23</v>
      </c>
      <c r="F598">
        <v>47</v>
      </c>
      <c r="G598">
        <v>110</v>
      </c>
      <c r="H598">
        <v>60</v>
      </c>
      <c r="I598" s="11">
        <v>5170</v>
      </c>
      <c r="J598" s="11">
        <v>2820</v>
      </c>
      <c r="K598" s="11">
        <v>2350</v>
      </c>
      <c r="L598" t="s">
        <v>88</v>
      </c>
      <c r="M598" t="s">
        <v>118</v>
      </c>
      <c r="N598" t="s">
        <v>122</v>
      </c>
    </row>
    <row r="599" spans="1:14">
      <c r="A599" s="20">
        <v>45632</v>
      </c>
      <c r="B599" t="s">
        <v>103</v>
      </c>
      <c r="C599" t="s">
        <v>94</v>
      </c>
      <c r="D599" t="s">
        <v>110</v>
      </c>
      <c r="E599">
        <v>19</v>
      </c>
      <c r="F599">
        <v>30</v>
      </c>
      <c r="G599">
        <v>80</v>
      </c>
      <c r="H599">
        <v>45</v>
      </c>
      <c r="I599" s="11">
        <v>2400</v>
      </c>
      <c r="J599" s="11">
        <v>1350</v>
      </c>
      <c r="K599" s="11">
        <v>1050</v>
      </c>
      <c r="L599" t="s">
        <v>89</v>
      </c>
      <c r="M599" t="s">
        <v>118</v>
      </c>
      <c r="N599" t="s">
        <v>122</v>
      </c>
    </row>
    <row r="600" spans="1:14">
      <c r="A600" s="20">
        <v>45400</v>
      </c>
      <c r="B600" t="s">
        <v>104</v>
      </c>
      <c r="C600" t="s">
        <v>98</v>
      </c>
      <c r="D600" t="s">
        <v>111</v>
      </c>
      <c r="E600">
        <v>35</v>
      </c>
      <c r="F600">
        <v>178</v>
      </c>
      <c r="G600">
        <v>100</v>
      </c>
      <c r="H600">
        <v>55</v>
      </c>
      <c r="I600" s="11">
        <v>17800</v>
      </c>
      <c r="J600" s="11">
        <v>9790</v>
      </c>
      <c r="K600" s="11">
        <v>8010</v>
      </c>
      <c r="L600" t="s">
        <v>81</v>
      </c>
      <c r="M600" t="s">
        <v>116</v>
      </c>
      <c r="N600" t="s">
        <v>124</v>
      </c>
    </row>
    <row r="601" spans="1:14">
      <c r="A601" s="20">
        <v>45431</v>
      </c>
      <c r="B601" t="s">
        <v>104</v>
      </c>
      <c r="C601" t="s">
        <v>94</v>
      </c>
      <c r="D601" t="s">
        <v>111</v>
      </c>
      <c r="E601">
        <v>41</v>
      </c>
      <c r="F601">
        <v>70</v>
      </c>
      <c r="G601">
        <v>80</v>
      </c>
      <c r="H601">
        <v>45</v>
      </c>
      <c r="I601" s="11">
        <v>5600</v>
      </c>
      <c r="J601" s="11">
        <v>3150</v>
      </c>
      <c r="K601" s="11">
        <v>2450</v>
      </c>
      <c r="L601" t="s">
        <v>82</v>
      </c>
      <c r="M601" t="s">
        <v>116</v>
      </c>
      <c r="N601" t="s">
        <v>125</v>
      </c>
    </row>
    <row r="602" spans="1:14">
      <c r="A602" s="20">
        <v>45343</v>
      </c>
      <c r="B602" t="s">
        <v>106</v>
      </c>
      <c r="C602" t="s">
        <v>98</v>
      </c>
      <c r="D602" t="s">
        <v>110</v>
      </c>
      <c r="E602">
        <v>30</v>
      </c>
      <c r="F602">
        <v>84</v>
      </c>
      <c r="G602">
        <v>100</v>
      </c>
      <c r="H602">
        <v>55</v>
      </c>
      <c r="I602" s="11">
        <v>8400</v>
      </c>
      <c r="J602" s="11">
        <v>4620</v>
      </c>
      <c r="K602" s="11">
        <v>3780</v>
      </c>
      <c r="L602" t="s">
        <v>79</v>
      </c>
      <c r="M602" t="s">
        <v>115</v>
      </c>
      <c r="N602" t="s">
        <v>123</v>
      </c>
    </row>
    <row r="603" spans="1:14">
      <c r="A603" s="20">
        <v>45327</v>
      </c>
      <c r="B603" t="s">
        <v>104</v>
      </c>
      <c r="C603" t="s">
        <v>96</v>
      </c>
      <c r="D603" t="s">
        <v>110</v>
      </c>
      <c r="E603">
        <v>26</v>
      </c>
      <c r="F603">
        <v>109</v>
      </c>
      <c r="G603">
        <v>90</v>
      </c>
      <c r="H603">
        <v>50</v>
      </c>
      <c r="I603" s="11">
        <v>9810</v>
      </c>
      <c r="J603" s="11">
        <v>5450</v>
      </c>
      <c r="K603" s="11">
        <v>4360</v>
      </c>
      <c r="L603" t="s">
        <v>79</v>
      </c>
      <c r="M603" t="s">
        <v>115</v>
      </c>
      <c r="N603" t="s">
        <v>123</v>
      </c>
    </row>
    <row r="604" spans="1:14">
      <c r="A604" s="20">
        <v>45504</v>
      </c>
      <c r="B604" t="s">
        <v>103</v>
      </c>
      <c r="C604" t="s">
        <v>97</v>
      </c>
      <c r="D604" t="s">
        <v>111</v>
      </c>
      <c r="E604">
        <v>31</v>
      </c>
      <c r="F604">
        <v>68</v>
      </c>
      <c r="G604">
        <v>130</v>
      </c>
      <c r="H604">
        <v>70</v>
      </c>
      <c r="I604" s="11">
        <v>8840</v>
      </c>
      <c r="J604" s="11">
        <v>4760</v>
      </c>
      <c r="K604" s="11">
        <v>4080</v>
      </c>
      <c r="L604" t="s">
        <v>84</v>
      </c>
      <c r="M604" t="s">
        <v>117</v>
      </c>
      <c r="N604" t="s">
        <v>124</v>
      </c>
    </row>
    <row r="605" spans="1:14">
      <c r="A605" s="20">
        <v>45409</v>
      </c>
      <c r="B605" t="s">
        <v>106</v>
      </c>
      <c r="C605" t="s">
        <v>95</v>
      </c>
      <c r="D605" t="s">
        <v>110</v>
      </c>
      <c r="E605">
        <v>37</v>
      </c>
      <c r="F605">
        <v>106</v>
      </c>
      <c r="G605">
        <v>110</v>
      </c>
      <c r="H605">
        <v>60</v>
      </c>
      <c r="I605" s="11">
        <v>11660</v>
      </c>
      <c r="J605" s="11">
        <v>6360</v>
      </c>
      <c r="K605" s="11">
        <v>5300</v>
      </c>
      <c r="L605" t="s">
        <v>81</v>
      </c>
      <c r="M605" t="s">
        <v>116</v>
      </c>
      <c r="N605" t="s">
        <v>125</v>
      </c>
    </row>
    <row r="606" spans="1:14">
      <c r="A606" s="20">
        <v>45576</v>
      </c>
      <c r="B606" t="s">
        <v>104</v>
      </c>
      <c r="C606" t="s">
        <v>93</v>
      </c>
      <c r="D606" t="s">
        <v>111</v>
      </c>
      <c r="E606">
        <v>26</v>
      </c>
      <c r="F606">
        <v>52</v>
      </c>
      <c r="G606">
        <v>100</v>
      </c>
      <c r="H606">
        <v>55</v>
      </c>
      <c r="I606" s="11">
        <v>5200</v>
      </c>
      <c r="J606" s="11">
        <v>2860</v>
      </c>
      <c r="K606" s="11">
        <v>2340</v>
      </c>
      <c r="L606" t="s">
        <v>87</v>
      </c>
      <c r="M606" t="s">
        <v>118</v>
      </c>
      <c r="N606" t="s">
        <v>123</v>
      </c>
    </row>
    <row r="607" spans="1:14">
      <c r="A607" s="20">
        <v>45538</v>
      </c>
      <c r="B607" t="s">
        <v>105</v>
      </c>
      <c r="C607" t="s">
        <v>94</v>
      </c>
      <c r="D607" t="s">
        <v>111</v>
      </c>
      <c r="E607">
        <v>31</v>
      </c>
      <c r="F607">
        <v>47</v>
      </c>
      <c r="G607">
        <v>80</v>
      </c>
      <c r="H607">
        <v>45</v>
      </c>
      <c r="I607" s="11">
        <v>3760</v>
      </c>
      <c r="J607" s="11">
        <v>2115</v>
      </c>
      <c r="K607" s="11">
        <v>1645</v>
      </c>
      <c r="L607" t="s">
        <v>86</v>
      </c>
      <c r="M607" t="s">
        <v>117</v>
      </c>
      <c r="N607" t="s">
        <v>124</v>
      </c>
    </row>
    <row r="608" spans="1:14">
      <c r="A608" s="20">
        <v>45537</v>
      </c>
      <c r="B608" t="s">
        <v>103</v>
      </c>
      <c r="C608" t="s">
        <v>94</v>
      </c>
      <c r="D608" t="s">
        <v>110</v>
      </c>
      <c r="E608">
        <v>28</v>
      </c>
      <c r="F608">
        <v>71</v>
      </c>
      <c r="G608">
        <v>80</v>
      </c>
      <c r="H608">
        <v>45</v>
      </c>
      <c r="I608" s="11">
        <v>5680</v>
      </c>
      <c r="J608" s="11">
        <v>3195</v>
      </c>
      <c r="K608" s="11">
        <v>2485</v>
      </c>
      <c r="L608" t="s">
        <v>86</v>
      </c>
      <c r="M608" t="s">
        <v>117</v>
      </c>
      <c r="N608" t="s">
        <v>123</v>
      </c>
    </row>
    <row r="609" spans="1:14">
      <c r="A609" s="20">
        <v>45413</v>
      </c>
      <c r="B609" t="s">
        <v>103</v>
      </c>
      <c r="C609" t="s">
        <v>93</v>
      </c>
      <c r="D609" t="s">
        <v>110</v>
      </c>
      <c r="E609">
        <v>38</v>
      </c>
      <c r="F609">
        <v>77</v>
      </c>
      <c r="G609">
        <v>100</v>
      </c>
      <c r="H609">
        <v>55</v>
      </c>
      <c r="I609" s="11">
        <v>7700</v>
      </c>
      <c r="J609" s="11">
        <v>4235</v>
      </c>
      <c r="K609" s="11">
        <v>3465</v>
      </c>
      <c r="L609" t="s">
        <v>82</v>
      </c>
      <c r="M609" t="s">
        <v>116</v>
      </c>
      <c r="N609" t="s">
        <v>125</v>
      </c>
    </row>
    <row r="610" spans="1:14">
      <c r="A610" s="20">
        <v>45538</v>
      </c>
      <c r="B610" t="s">
        <v>103</v>
      </c>
      <c r="C610" t="s">
        <v>94</v>
      </c>
      <c r="D610" t="s">
        <v>110</v>
      </c>
      <c r="E610">
        <v>33</v>
      </c>
      <c r="F610">
        <v>57</v>
      </c>
      <c r="G610">
        <v>80</v>
      </c>
      <c r="H610">
        <v>45</v>
      </c>
      <c r="I610" s="11">
        <v>4560</v>
      </c>
      <c r="J610" s="11">
        <v>2565</v>
      </c>
      <c r="K610" s="11">
        <v>1995</v>
      </c>
      <c r="L610" t="s">
        <v>86</v>
      </c>
      <c r="M610" t="s">
        <v>117</v>
      </c>
      <c r="N610" t="s">
        <v>124</v>
      </c>
    </row>
    <row r="611" spans="1:14">
      <c r="A611" s="20">
        <v>45363</v>
      </c>
      <c r="B611" t="s">
        <v>104</v>
      </c>
      <c r="C611" t="s">
        <v>97</v>
      </c>
      <c r="D611" t="s">
        <v>111</v>
      </c>
      <c r="E611">
        <v>34</v>
      </c>
      <c r="F611">
        <v>68</v>
      </c>
      <c r="G611">
        <v>130</v>
      </c>
      <c r="H611">
        <v>70</v>
      </c>
      <c r="I611" s="11">
        <v>8840</v>
      </c>
      <c r="J611" s="11">
        <v>4760</v>
      </c>
      <c r="K611" s="11">
        <v>4080</v>
      </c>
      <c r="L611" t="s">
        <v>80</v>
      </c>
      <c r="M611" t="s">
        <v>115</v>
      </c>
      <c r="N611" t="s">
        <v>124</v>
      </c>
    </row>
    <row r="612" spans="1:14">
      <c r="A612" s="20">
        <v>45621</v>
      </c>
      <c r="B612" t="s">
        <v>105</v>
      </c>
      <c r="C612" t="s">
        <v>93</v>
      </c>
      <c r="D612" t="s">
        <v>110</v>
      </c>
      <c r="E612">
        <v>20</v>
      </c>
      <c r="F612">
        <v>43</v>
      </c>
      <c r="G612">
        <v>100</v>
      </c>
      <c r="H612">
        <v>55</v>
      </c>
      <c r="I612" s="11">
        <v>4300</v>
      </c>
      <c r="J612" s="11">
        <v>2365</v>
      </c>
      <c r="K612" s="11">
        <v>1935</v>
      </c>
      <c r="L612" t="s">
        <v>88</v>
      </c>
      <c r="M612" t="s">
        <v>118</v>
      </c>
      <c r="N612" t="s">
        <v>122</v>
      </c>
    </row>
    <row r="613" spans="1:14">
      <c r="A613" s="20">
        <v>45432</v>
      </c>
      <c r="B613" t="s">
        <v>105</v>
      </c>
      <c r="C613" t="s">
        <v>98</v>
      </c>
      <c r="D613" t="s">
        <v>111</v>
      </c>
      <c r="E613">
        <v>32</v>
      </c>
      <c r="F613">
        <v>97</v>
      </c>
      <c r="G613">
        <v>100</v>
      </c>
      <c r="H613">
        <v>55</v>
      </c>
      <c r="I613" s="11">
        <v>9700</v>
      </c>
      <c r="J613" s="11">
        <v>5335</v>
      </c>
      <c r="K613" s="11">
        <v>4365</v>
      </c>
      <c r="L613" t="s">
        <v>82</v>
      </c>
      <c r="M613" t="s">
        <v>116</v>
      </c>
      <c r="N613" t="s">
        <v>124</v>
      </c>
    </row>
    <row r="614" spans="1:14">
      <c r="A614" s="20">
        <v>45536</v>
      </c>
      <c r="B614" t="s">
        <v>103</v>
      </c>
      <c r="C614" t="s">
        <v>94</v>
      </c>
      <c r="D614" t="s">
        <v>110</v>
      </c>
      <c r="E614">
        <v>26</v>
      </c>
      <c r="F614">
        <v>55</v>
      </c>
      <c r="G614">
        <v>80</v>
      </c>
      <c r="H614">
        <v>45</v>
      </c>
      <c r="I614" s="11">
        <v>4400</v>
      </c>
      <c r="J614" s="11">
        <v>2475</v>
      </c>
      <c r="K614" s="11">
        <v>1925</v>
      </c>
      <c r="L614" t="s">
        <v>86</v>
      </c>
      <c r="M614" t="s">
        <v>117</v>
      </c>
      <c r="N614" t="s">
        <v>123</v>
      </c>
    </row>
    <row r="615" spans="1:14">
      <c r="A615" s="20">
        <v>45362</v>
      </c>
      <c r="B615" t="s">
        <v>105</v>
      </c>
      <c r="C615" t="s">
        <v>94</v>
      </c>
      <c r="D615" t="s">
        <v>111</v>
      </c>
      <c r="E615">
        <v>32</v>
      </c>
      <c r="F615">
        <v>107</v>
      </c>
      <c r="G615">
        <v>80</v>
      </c>
      <c r="H615">
        <v>45</v>
      </c>
      <c r="I615" s="11">
        <v>8560</v>
      </c>
      <c r="J615" s="11">
        <v>4815</v>
      </c>
      <c r="K615" s="11">
        <v>3745</v>
      </c>
      <c r="L615" t="s">
        <v>80</v>
      </c>
      <c r="M615" t="s">
        <v>115</v>
      </c>
      <c r="N615" t="s">
        <v>124</v>
      </c>
    </row>
    <row r="616" spans="1:14">
      <c r="A616" s="20">
        <v>45394</v>
      </c>
      <c r="B616" t="s">
        <v>103</v>
      </c>
      <c r="C616" t="s">
        <v>93</v>
      </c>
      <c r="D616" t="s">
        <v>111</v>
      </c>
      <c r="E616">
        <v>34</v>
      </c>
      <c r="F616">
        <v>74</v>
      </c>
      <c r="G616">
        <v>100</v>
      </c>
      <c r="H616">
        <v>55</v>
      </c>
      <c r="I616" s="11">
        <v>7400</v>
      </c>
      <c r="J616" s="11">
        <v>4070</v>
      </c>
      <c r="K616" s="11">
        <v>3330</v>
      </c>
      <c r="L616" t="s">
        <v>81</v>
      </c>
      <c r="M616" t="s">
        <v>116</v>
      </c>
      <c r="N616" t="s">
        <v>124</v>
      </c>
    </row>
    <row r="617" spans="1:14">
      <c r="A617" s="20">
        <v>45498</v>
      </c>
      <c r="B617" t="s">
        <v>103</v>
      </c>
      <c r="C617" t="s">
        <v>98</v>
      </c>
      <c r="D617" t="s">
        <v>111</v>
      </c>
      <c r="E617">
        <v>34</v>
      </c>
      <c r="F617">
        <v>45</v>
      </c>
      <c r="G617">
        <v>100</v>
      </c>
      <c r="H617">
        <v>55</v>
      </c>
      <c r="I617" s="11">
        <v>4500</v>
      </c>
      <c r="J617" s="11">
        <v>2475</v>
      </c>
      <c r="K617" s="11">
        <v>2025</v>
      </c>
      <c r="L617" t="s">
        <v>84</v>
      </c>
      <c r="M617" t="s">
        <v>117</v>
      </c>
      <c r="N617" t="s">
        <v>124</v>
      </c>
    </row>
    <row r="618" spans="1:14">
      <c r="A618" s="20">
        <v>45601</v>
      </c>
      <c r="B618" t="s">
        <v>104</v>
      </c>
      <c r="C618" t="s">
        <v>95</v>
      </c>
      <c r="D618" t="s">
        <v>111</v>
      </c>
      <c r="E618">
        <v>26</v>
      </c>
      <c r="F618">
        <v>31</v>
      </c>
      <c r="G618">
        <v>110</v>
      </c>
      <c r="H618">
        <v>60</v>
      </c>
      <c r="I618" s="11">
        <v>3410</v>
      </c>
      <c r="J618" s="11">
        <v>1860</v>
      </c>
      <c r="K618" s="11">
        <v>1550</v>
      </c>
      <c r="L618" t="s">
        <v>88</v>
      </c>
      <c r="M618" t="s">
        <v>118</v>
      </c>
      <c r="N618" t="s">
        <v>123</v>
      </c>
    </row>
    <row r="619" spans="1:14">
      <c r="A619" s="20">
        <v>45655</v>
      </c>
      <c r="B619" t="s">
        <v>105</v>
      </c>
      <c r="C619" t="s">
        <v>93</v>
      </c>
      <c r="D619" t="s">
        <v>110</v>
      </c>
      <c r="E619">
        <v>20</v>
      </c>
      <c r="F619">
        <v>28</v>
      </c>
      <c r="G619">
        <v>100</v>
      </c>
      <c r="H619">
        <v>55</v>
      </c>
      <c r="I619" s="11">
        <v>2800</v>
      </c>
      <c r="J619" s="11">
        <v>1540</v>
      </c>
      <c r="K619" s="11">
        <v>1260</v>
      </c>
      <c r="L619" t="s">
        <v>89</v>
      </c>
      <c r="M619" t="s">
        <v>118</v>
      </c>
      <c r="N619" t="s">
        <v>122</v>
      </c>
    </row>
    <row r="620" spans="1:14">
      <c r="A620" s="20">
        <v>45562</v>
      </c>
      <c r="B620" t="s">
        <v>103</v>
      </c>
      <c r="C620" t="s">
        <v>93</v>
      </c>
      <c r="D620" t="s">
        <v>110</v>
      </c>
      <c r="E620">
        <v>28</v>
      </c>
      <c r="F620">
        <v>47</v>
      </c>
      <c r="G620">
        <v>100</v>
      </c>
      <c r="H620">
        <v>55</v>
      </c>
      <c r="I620" s="11">
        <v>4700</v>
      </c>
      <c r="J620" s="11">
        <v>2585</v>
      </c>
      <c r="K620" s="11">
        <v>2115</v>
      </c>
      <c r="L620" t="s">
        <v>86</v>
      </c>
      <c r="M620" t="s">
        <v>117</v>
      </c>
      <c r="N620" t="s">
        <v>123</v>
      </c>
    </row>
    <row r="621" spans="1:14">
      <c r="A621" s="20">
        <v>45339</v>
      </c>
      <c r="B621" t="s">
        <v>103</v>
      </c>
      <c r="C621" t="s">
        <v>94</v>
      </c>
      <c r="D621" t="s">
        <v>110</v>
      </c>
      <c r="E621">
        <v>33</v>
      </c>
      <c r="F621">
        <v>86</v>
      </c>
      <c r="G621">
        <v>80</v>
      </c>
      <c r="H621">
        <v>45</v>
      </c>
      <c r="I621" s="11">
        <v>6880</v>
      </c>
      <c r="J621" s="11">
        <v>3870</v>
      </c>
      <c r="K621" s="11">
        <v>3010</v>
      </c>
      <c r="L621" t="s">
        <v>79</v>
      </c>
      <c r="M621" t="s">
        <v>115</v>
      </c>
      <c r="N621" t="s">
        <v>124</v>
      </c>
    </row>
    <row r="622" spans="1:14">
      <c r="A622" s="20">
        <v>45583</v>
      </c>
      <c r="B622" t="s">
        <v>104</v>
      </c>
      <c r="C622" t="s">
        <v>98</v>
      </c>
      <c r="D622" t="s">
        <v>112</v>
      </c>
      <c r="E622">
        <v>31</v>
      </c>
      <c r="F622">
        <v>95</v>
      </c>
      <c r="G622">
        <v>100</v>
      </c>
      <c r="H622">
        <v>55</v>
      </c>
      <c r="I622" s="11">
        <v>9500</v>
      </c>
      <c r="J622" s="11">
        <v>5225</v>
      </c>
      <c r="K622" s="11">
        <v>4275</v>
      </c>
      <c r="L622" t="s">
        <v>87</v>
      </c>
      <c r="M622" t="s">
        <v>118</v>
      </c>
      <c r="N622" t="s">
        <v>124</v>
      </c>
    </row>
    <row r="623" spans="1:14">
      <c r="A623" s="20">
        <v>45626</v>
      </c>
      <c r="B623" t="s">
        <v>106</v>
      </c>
      <c r="C623" t="s">
        <v>94</v>
      </c>
      <c r="D623" t="s">
        <v>110</v>
      </c>
      <c r="E623">
        <v>20</v>
      </c>
      <c r="F623">
        <v>12</v>
      </c>
      <c r="G623">
        <v>80</v>
      </c>
      <c r="H623">
        <v>45</v>
      </c>
      <c r="I623" s="11">
        <v>960</v>
      </c>
      <c r="J623" s="11">
        <v>540</v>
      </c>
      <c r="K623" s="11">
        <v>420</v>
      </c>
      <c r="L623" t="s">
        <v>88</v>
      </c>
      <c r="M623" t="s">
        <v>118</v>
      </c>
      <c r="N623" t="s">
        <v>122</v>
      </c>
    </row>
    <row r="624" spans="1:14">
      <c r="A624" s="20">
        <v>45294</v>
      </c>
      <c r="B624" t="s">
        <v>104</v>
      </c>
      <c r="C624" t="s">
        <v>93</v>
      </c>
      <c r="D624" t="s">
        <v>110</v>
      </c>
      <c r="E624">
        <v>21</v>
      </c>
      <c r="F624">
        <v>13</v>
      </c>
      <c r="G624">
        <v>100</v>
      </c>
      <c r="H624">
        <v>55</v>
      </c>
      <c r="I624" s="11">
        <v>1300</v>
      </c>
      <c r="J624" s="11">
        <v>715</v>
      </c>
      <c r="K624" s="11">
        <v>585</v>
      </c>
      <c r="L624" t="s">
        <v>78</v>
      </c>
      <c r="M624" t="s">
        <v>115</v>
      </c>
      <c r="N624" t="s">
        <v>122</v>
      </c>
    </row>
    <row r="625" spans="1:14">
      <c r="A625" s="20">
        <v>45622</v>
      </c>
      <c r="B625" t="s">
        <v>105</v>
      </c>
      <c r="C625" t="s">
        <v>95</v>
      </c>
      <c r="D625" t="s">
        <v>110</v>
      </c>
      <c r="E625">
        <v>19</v>
      </c>
      <c r="F625">
        <v>52</v>
      </c>
      <c r="G625">
        <v>110</v>
      </c>
      <c r="H625">
        <v>60</v>
      </c>
      <c r="I625" s="11">
        <v>5720</v>
      </c>
      <c r="J625" s="11">
        <v>3120</v>
      </c>
      <c r="K625" s="11">
        <v>2600</v>
      </c>
      <c r="L625" t="s">
        <v>88</v>
      </c>
      <c r="M625" t="s">
        <v>118</v>
      </c>
      <c r="N625" t="s">
        <v>122</v>
      </c>
    </row>
    <row r="626" spans="1:14">
      <c r="A626" s="20">
        <v>45353</v>
      </c>
      <c r="B626" t="s">
        <v>104</v>
      </c>
      <c r="C626" t="s">
        <v>98</v>
      </c>
      <c r="D626" t="s">
        <v>111</v>
      </c>
      <c r="E626">
        <v>39</v>
      </c>
      <c r="F626">
        <v>110</v>
      </c>
      <c r="G626">
        <v>100</v>
      </c>
      <c r="H626">
        <v>55</v>
      </c>
      <c r="I626" s="11">
        <v>11000</v>
      </c>
      <c r="J626" s="11">
        <v>6050</v>
      </c>
      <c r="K626" s="11">
        <v>4950</v>
      </c>
      <c r="L626" t="s">
        <v>80</v>
      </c>
      <c r="M626" t="s">
        <v>115</v>
      </c>
      <c r="N626" t="s">
        <v>125</v>
      </c>
    </row>
    <row r="627" spans="1:14">
      <c r="A627" s="20">
        <v>45498</v>
      </c>
      <c r="B627" t="s">
        <v>104</v>
      </c>
      <c r="C627" t="s">
        <v>94</v>
      </c>
      <c r="D627" t="s">
        <v>110</v>
      </c>
      <c r="E627">
        <v>30</v>
      </c>
      <c r="F627">
        <v>87</v>
      </c>
      <c r="G627">
        <v>80</v>
      </c>
      <c r="H627">
        <v>45</v>
      </c>
      <c r="I627" s="11">
        <v>6960</v>
      </c>
      <c r="J627" s="11">
        <v>3915</v>
      </c>
      <c r="K627" s="11">
        <v>3045</v>
      </c>
      <c r="L627" t="s">
        <v>84</v>
      </c>
      <c r="M627" t="s">
        <v>117</v>
      </c>
      <c r="N627" t="s">
        <v>123</v>
      </c>
    </row>
    <row r="628" spans="1:14">
      <c r="A628" s="20">
        <v>45609</v>
      </c>
      <c r="B628" t="s">
        <v>104</v>
      </c>
      <c r="C628" t="s">
        <v>98</v>
      </c>
      <c r="D628" t="s">
        <v>110</v>
      </c>
      <c r="E628">
        <v>20</v>
      </c>
      <c r="F628">
        <v>46</v>
      </c>
      <c r="G628">
        <v>100</v>
      </c>
      <c r="H628">
        <v>55</v>
      </c>
      <c r="I628" s="11">
        <v>4600</v>
      </c>
      <c r="J628" s="11">
        <v>2530</v>
      </c>
      <c r="K628" s="11">
        <v>2070</v>
      </c>
      <c r="L628" t="s">
        <v>88</v>
      </c>
      <c r="M628" t="s">
        <v>118</v>
      </c>
      <c r="N628" t="s">
        <v>122</v>
      </c>
    </row>
    <row r="629" spans="1:14">
      <c r="A629" s="20">
        <v>45483</v>
      </c>
      <c r="B629" t="s">
        <v>104</v>
      </c>
      <c r="C629" t="s">
        <v>95</v>
      </c>
      <c r="D629" t="s">
        <v>111</v>
      </c>
      <c r="E629">
        <v>26</v>
      </c>
      <c r="F629">
        <v>35</v>
      </c>
      <c r="G629">
        <v>110</v>
      </c>
      <c r="H629">
        <v>60</v>
      </c>
      <c r="I629" s="11">
        <v>3850</v>
      </c>
      <c r="J629" s="11">
        <v>2100</v>
      </c>
      <c r="K629" s="11">
        <v>1750</v>
      </c>
      <c r="L629" t="s">
        <v>84</v>
      </c>
      <c r="M629" t="s">
        <v>117</v>
      </c>
      <c r="N629" t="s">
        <v>123</v>
      </c>
    </row>
    <row r="630" spans="1:14">
      <c r="A630" s="20">
        <v>45506</v>
      </c>
      <c r="B630" t="s">
        <v>104</v>
      </c>
      <c r="C630" t="s">
        <v>96</v>
      </c>
      <c r="D630" t="s">
        <v>111</v>
      </c>
      <c r="E630">
        <v>31</v>
      </c>
      <c r="F630">
        <v>91</v>
      </c>
      <c r="G630">
        <v>90</v>
      </c>
      <c r="H630">
        <v>50</v>
      </c>
      <c r="I630" s="11">
        <v>8190</v>
      </c>
      <c r="J630" s="11">
        <v>4550</v>
      </c>
      <c r="K630" s="11">
        <v>3640</v>
      </c>
      <c r="L630" t="s">
        <v>85</v>
      </c>
      <c r="M630" t="s">
        <v>117</v>
      </c>
      <c r="N630" t="s">
        <v>124</v>
      </c>
    </row>
    <row r="631" spans="1:14">
      <c r="A631" s="20">
        <v>45307</v>
      </c>
      <c r="B631" t="s">
        <v>103</v>
      </c>
      <c r="C631" t="s">
        <v>94</v>
      </c>
      <c r="D631" t="s">
        <v>110</v>
      </c>
      <c r="E631">
        <v>27</v>
      </c>
      <c r="F631">
        <v>11</v>
      </c>
      <c r="G631">
        <v>80</v>
      </c>
      <c r="H631">
        <v>45</v>
      </c>
      <c r="I631" s="11">
        <v>880</v>
      </c>
      <c r="J631" s="11">
        <v>495</v>
      </c>
      <c r="K631" s="11">
        <v>385</v>
      </c>
      <c r="L631" t="s">
        <v>78</v>
      </c>
      <c r="M631" t="s">
        <v>115</v>
      </c>
      <c r="N631" t="s">
        <v>123</v>
      </c>
    </row>
    <row r="632" spans="1:14">
      <c r="A632" s="20">
        <v>45591</v>
      </c>
      <c r="B632" t="s">
        <v>104</v>
      </c>
      <c r="C632" t="s">
        <v>95</v>
      </c>
      <c r="D632" t="s">
        <v>111</v>
      </c>
      <c r="E632">
        <v>28</v>
      </c>
      <c r="F632">
        <v>79</v>
      </c>
      <c r="G632">
        <v>110</v>
      </c>
      <c r="H632">
        <v>60</v>
      </c>
      <c r="I632" s="11">
        <v>8690</v>
      </c>
      <c r="J632" s="11">
        <v>4740</v>
      </c>
      <c r="K632" s="11">
        <v>3950</v>
      </c>
      <c r="L632" t="s">
        <v>87</v>
      </c>
      <c r="M632" t="s">
        <v>118</v>
      </c>
      <c r="N632" t="s">
        <v>123</v>
      </c>
    </row>
    <row r="633" spans="1:14">
      <c r="A633" s="20">
        <v>45637</v>
      </c>
      <c r="B633" t="s">
        <v>106</v>
      </c>
      <c r="C633" t="s">
        <v>93</v>
      </c>
      <c r="D633" t="s">
        <v>110</v>
      </c>
      <c r="E633">
        <v>26</v>
      </c>
      <c r="F633">
        <v>47</v>
      </c>
      <c r="G633">
        <v>100</v>
      </c>
      <c r="H633">
        <v>55</v>
      </c>
      <c r="I633" s="11">
        <v>4700</v>
      </c>
      <c r="J633" s="11">
        <v>2585</v>
      </c>
      <c r="K633" s="11">
        <v>2115</v>
      </c>
      <c r="L633" t="s">
        <v>89</v>
      </c>
      <c r="M633" t="s">
        <v>118</v>
      </c>
      <c r="N633" t="s">
        <v>123</v>
      </c>
    </row>
    <row r="634" spans="1:14">
      <c r="A634" s="20">
        <v>45530</v>
      </c>
      <c r="B634" t="s">
        <v>105</v>
      </c>
      <c r="C634" t="s">
        <v>96</v>
      </c>
      <c r="D634" t="s">
        <v>110</v>
      </c>
      <c r="E634">
        <v>30</v>
      </c>
      <c r="F634">
        <v>74</v>
      </c>
      <c r="G634">
        <v>90</v>
      </c>
      <c r="H634">
        <v>50</v>
      </c>
      <c r="I634" s="11">
        <v>6660</v>
      </c>
      <c r="J634" s="11">
        <v>3700</v>
      </c>
      <c r="K634" s="11">
        <v>2960</v>
      </c>
      <c r="L634" t="s">
        <v>85</v>
      </c>
      <c r="M634" t="s">
        <v>117</v>
      </c>
      <c r="N634" t="s">
        <v>123</v>
      </c>
    </row>
    <row r="635" spans="1:14">
      <c r="A635" s="20">
        <v>45401</v>
      </c>
      <c r="B635" t="s">
        <v>104</v>
      </c>
      <c r="C635" t="s">
        <v>94</v>
      </c>
      <c r="D635" t="s">
        <v>110</v>
      </c>
      <c r="E635">
        <v>38</v>
      </c>
      <c r="F635">
        <v>181</v>
      </c>
      <c r="G635">
        <v>80</v>
      </c>
      <c r="H635">
        <v>45</v>
      </c>
      <c r="I635" s="11">
        <v>14480</v>
      </c>
      <c r="J635" s="11">
        <v>8145</v>
      </c>
      <c r="K635" s="11">
        <v>6335</v>
      </c>
      <c r="L635" t="s">
        <v>81</v>
      </c>
      <c r="M635" t="s">
        <v>116</v>
      </c>
      <c r="N635" t="s">
        <v>125</v>
      </c>
    </row>
    <row r="636" spans="1:14">
      <c r="A636" s="20">
        <v>45617</v>
      </c>
      <c r="B636" t="s">
        <v>105</v>
      </c>
      <c r="C636" t="s">
        <v>95</v>
      </c>
      <c r="D636" t="s">
        <v>111</v>
      </c>
      <c r="E636">
        <v>25</v>
      </c>
      <c r="F636">
        <v>42</v>
      </c>
      <c r="G636">
        <v>110</v>
      </c>
      <c r="H636">
        <v>60</v>
      </c>
      <c r="I636" s="11">
        <v>4620</v>
      </c>
      <c r="J636" s="11">
        <v>2520</v>
      </c>
      <c r="K636" s="11">
        <v>2100</v>
      </c>
      <c r="L636" t="s">
        <v>88</v>
      </c>
      <c r="M636" t="s">
        <v>118</v>
      </c>
      <c r="N636" t="s">
        <v>123</v>
      </c>
    </row>
    <row r="637" spans="1:14">
      <c r="A637" s="20">
        <v>45548</v>
      </c>
      <c r="B637" t="s">
        <v>103</v>
      </c>
      <c r="C637" t="s">
        <v>93</v>
      </c>
      <c r="D637" t="s">
        <v>110</v>
      </c>
      <c r="E637">
        <v>30</v>
      </c>
      <c r="F637">
        <v>64</v>
      </c>
      <c r="G637">
        <v>100</v>
      </c>
      <c r="H637">
        <v>55</v>
      </c>
      <c r="I637" s="11">
        <v>6400</v>
      </c>
      <c r="J637" s="11">
        <v>3520</v>
      </c>
      <c r="K637" s="11">
        <v>2880</v>
      </c>
      <c r="L637" t="s">
        <v>86</v>
      </c>
      <c r="M637" t="s">
        <v>117</v>
      </c>
      <c r="N637" t="s">
        <v>123</v>
      </c>
    </row>
    <row r="638" spans="1:14">
      <c r="A638" s="20">
        <v>45607</v>
      </c>
      <c r="B638" t="s">
        <v>105</v>
      </c>
      <c r="C638" t="s">
        <v>94</v>
      </c>
      <c r="D638" t="s">
        <v>110</v>
      </c>
      <c r="E638">
        <v>25</v>
      </c>
      <c r="F638">
        <v>55</v>
      </c>
      <c r="G638">
        <v>80</v>
      </c>
      <c r="H638">
        <v>45</v>
      </c>
      <c r="I638" s="11">
        <v>4400</v>
      </c>
      <c r="J638" s="11">
        <v>2475</v>
      </c>
      <c r="K638" s="11">
        <v>1925</v>
      </c>
      <c r="L638" t="s">
        <v>88</v>
      </c>
      <c r="M638" t="s">
        <v>118</v>
      </c>
      <c r="N638" t="s">
        <v>123</v>
      </c>
    </row>
    <row r="639" spans="1:14">
      <c r="A639" s="20">
        <v>45523</v>
      </c>
      <c r="B639" t="s">
        <v>104</v>
      </c>
      <c r="C639" t="s">
        <v>95</v>
      </c>
      <c r="D639" t="s">
        <v>111</v>
      </c>
      <c r="E639">
        <v>27</v>
      </c>
      <c r="F639">
        <v>47</v>
      </c>
      <c r="G639">
        <v>110</v>
      </c>
      <c r="H639">
        <v>60</v>
      </c>
      <c r="I639" s="11">
        <v>5170</v>
      </c>
      <c r="J639" s="11">
        <v>2820</v>
      </c>
      <c r="K639" s="11">
        <v>2350</v>
      </c>
      <c r="L639" t="s">
        <v>85</v>
      </c>
      <c r="M639" t="s">
        <v>117</v>
      </c>
      <c r="N639" t="s">
        <v>123</v>
      </c>
    </row>
    <row r="640" spans="1:14">
      <c r="A640" s="20">
        <v>45555</v>
      </c>
      <c r="B640" t="s">
        <v>104</v>
      </c>
      <c r="C640" t="s">
        <v>94</v>
      </c>
      <c r="D640" t="s">
        <v>110</v>
      </c>
      <c r="E640">
        <v>29</v>
      </c>
      <c r="F640">
        <v>77</v>
      </c>
      <c r="G640">
        <v>80</v>
      </c>
      <c r="H640">
        <v>45</v>
      </c>
      <c r="I640" s="11">
        <v>6160</v>
      </c>
      <c r="J640" s="11">
        <v>3465</v>
      </c>
      <c r="K640" s="11">
        <v>2695</v>
      </c>
      <c r="L640" t="s">
        <v>86</v>
      </c>
      <c r="M640" t="s">
        <v>117</v>
      </c>
      <c r="N640" t="s">
        <v>123</v>
      </c>
    </row>
    <row r="641" spans="1:14">
      <c r="A641" s="20">
        <v>45431</v>
      </c>
      <c r="B641" t="s">
        <v>105</v>
      </c>
      <c r="C641" t="s">
        <v>93</v>
      </c>
      <c r="D641" t="s">
        <v>111</v>
      </c>
      <c r="E641">
        <v>34</v>
      </c>
      <c r="F641">
        <v>158</v>
      </c>
      <c r="G641">
        <v>100</v>
      </c>
      <c r="H641">
        <v>55</v>
      </c>
      <c r="I641" s="11">
        <v>15800</v>
      </c>
      <c r="J641" s="11">
        <v>8690</v>
      </c>
      <c r="K641" s="11">
        <v>7110</v>
      </c>
      <c r="L641" t="s">
        <v>82</v>
      </c>
      <c r="M641" t="s">
        <v>116</v>
      </c>
      <c r="N641" t="s">
        <v>124</v>
      </c>
    </row>
    <row r="642" spans="1:14">
      <c r="A642" s="20">
        <v>45642</v>
      </c>
      <c r="B642" t="s">
        <v>104</v>
      </c>
      <c r="C642" t="s">
        <v>94</v>
      </c>
      <c r="D642" t="s">
        <v>110</v>
      </c>
      <c r="E642">
        <v>22</v>
      </c>
      <c r="F642">
        <v>20</v>
      </c>
      <c r="G642">
        <v>80</v>
      </c>
      <c r="H642">
        <v>45</v>
      </c>
      <c r="I642" s="11">
        <v>1600</v>
      </c>
      <c r="J642" s="11">
        <v>900</v>
      </c>
      <c r="K642" s="11">
        <v>700</v>
      </c>
      <c r="L642" t="s">
        <v>89</v>
      </c>
      <c r="M642" t="s">
        <v>118</v>
      </c>
      <c r="N642" t="s">
        <v>122</v>
      </c>
    </row>
    <row r="643" spans="1:14">
      <c r="A643" s="20">
        <v>45595</v>
      </c>
      <c r="B643" t="s">
        <v>103</v>
      </c>
      <c r="C643" t="s">
        <v>93</v>
      </c>
      <c r="D643" t="s">
        <v>110</v>
      </c>
      <c r="E643">
        <v>27</v>
      </c>
      <c r="F643">
        <v>53</v>
      </c>
      <c r="G643">
        <v>100</v>
      </c>
      <c r="H643">
        <v>55</v>
      </c>
      <c r="I643" s="11">
        <v>5300</v>
      </c>
      <c r="J643" s="11">
        <v>2915</v>
      </c>
      <c r="K643" s="11">
        <v>2385</v>
      </c>
      <c r="L643" t="s">
        <v>87</v>
      </c>
      <c r="M643" t="s">
        <v>118</v>
      </c>
      <c r="N643" t="s">
        <v>123</v>
      </c>
    </row>
    <row r="644" spans="1:14">
      <c r="A644" s="20">
        <v>45647</v>
      </c>
      <c r="B644" t="s">
        <v>106</v>
      </c>
      <c r="C644" t="s">
        <v>94</v>
      </c>
      <c r="D644" t="s">
        <v>111</v>
      </c>
      <c r="E644">
        <v>20</v>
      </c>
      <c r="F644">
        <v>44</v>
      </c>
      <c r="G644">
        <v>80</v>
      </c>
      <c r="H644">
        <v>45</v>
      </c>
      <c r="I644" s="11">
        <v>3520</v>
      </c>
      <c r="J644" s="11">
        <v>1980</v>
      </c>
      <c r="K644" s="11">
        <v>1540</v>
      </c>
      <c r="L644" t="s">
        <v>89</v>
      </c>
      <c r="M644" t="s">
        <v>118</v>
      </c>
      <c r="N644" t="s">
        <v>122</v>
      </c>
    </row>
    <row r="645" spans="1:14">
      <c r="A645" s="20">
        <v>45499</v>
      </c>
      <c r="B645" t="s">
        <v>104</v>
      </c>
      <c r="C645" t="s">
        <v>93</v>
      </c>
      <c r="D645" t="s">
        <v>110</v>
      </c>
      <c r="E645">
        <v>28</v>
      </c>
      <c r="F645">
        <v>97</v>
      </c>
      <c r="G645">
        <v>100</v>
      </c>
      <c r="H645">
        <v>55</v>
      </c>
      <c r="I645" s="11">
        <v>9700</v>
      </c>
      <c r="J645" s="11">
        <v>5335</v>
      </c>
      <c r="K645" s="11">
        <v>4365</v>
      </c>
      <c r="L645" t="s">
        <v>84</v>
      </c>
      <c r="M645" t="s">
        <v>117</v>
      </c>
      <c r="N645" t="s">
        <v>123</v>
      </c>
    </row>
    <row r="646" spans="1:14">
      <c r="A646" s="20">
        <v>45462</v>
      </c>
      <c r="B646" t="s">
        <v>103</v>
      </c>
      <c r="C646" t="s">
        <v>95</v>
      </c>
      <c r="D646" t="s">
        <v>111</v>
      </c>
      <c r="E646">
        <v>34</v>
      </c>
      <c r="F646">
        <v>97</v>
      </c>
      <c r="G646">
        <v>110</v>
      </c>
      <c r="H646">
        <v>60</v>
      </c>
      <c r="I646" s="11">
        <v>10670</v>
      </c>
      <c r="J646" s="11">
        <v>5820</v>
      </c>
      <c r="K646" s="11">
        <v>4850</v>
      </c>
      <c r="L646" t="s">
        <v>83</v>
      </c>
      <c r="M646" t="s">
        <v>116</v>
      </c>
      <c r="N646" t="s">
        <v>124</v>
      </c>
    </row>
    <row r="647" spans="1:14">
      <c r="A647" s="20">
        <v>45634</v>
      </c>
      <c r="B647" t="s">
        <v>106</v>
      </c>
      <c r="C647" t="s">
        <v>97</v>
      </c>
      <c r="D647" t="s">
        <v>110</v>
      </c>
      <c r="E647">
        <v>22</v>
      </c>
      <c r="F647">
        <v>14</v>
      </c>
      <c r="G647">
        <v>130</v>
      </c>
      <c r="H647">
        <v>70</v>
      </c>
      <c r="I647" s="11">
        <v>1820</v>
      </c>
      <c r="J647" s="11">
        <v>980</v>
      </c>
      <c r="K647" s="11">
        <v>840</v>
      </c>
      <c r="L647" t="s">
        <v>89</v>
      </c>
      <c r="M647" t="s">
        <v>118</v>
      </c>
      <c r="N647" t="s">
        <v>122</v>
      </c>
    </row>
    <row r="648" spans="1:14">
      <c r="A648" s="20">
        <v>45342</v>
      </c>
      <c r="B648" t="s">
        <v>104</v>
      </c>
      <c r="C648" t="s">
        <v>93</v>
      </c>
      <c r="D648" t="s">
        <v>112</v>
      </c>
      <c r="E648">
        <v>29</v>
      </c>
      <c r="F648">
        <v>71</v>
      </c>
      <c r="G648">
        <v>100</v>
      </c>
      <c r="H648">
        <v>55</v>
      </c>
      <c r="I648" s="11">
        <v>7100</v>
      </c>
      <c r="J648" s="11">
        <v>3905</v>
      </c>
      <c r="K648" s="11">
        <v>3195</v>
      </c>
      <c r="L648" t="s">
        <v>79</v>
      </c>
      <c r="M648" t="s">
        <v>115</v>
      </c>
      <c r="N648" t="s">
        <v>123</v>
      </c>
    </row>
    <row r="649" spans="1:14">
      <c r="A649" s="20">
        <v>45457</v>
      </c>
      <c r="B649" t="s">
        <v>103</v>
      </c>
      <c r="C649" t="s">
        <v>96</v>
      </c>
      <c r="D649" t="s">
        <v>110</v>
      </c>
      <c r="E649">
        <v>38</v>
      </c>
      <c r="F649">
        <v>195</v>
      </c>
      <c r="G649">
        <v>90</v>
      </c>
      <c r="H649">
        <v>50</v>
      </c>
      <c r="I649" s="11">
        <v>17550</v>
      </c>
      <c r="J649" s="11">
        <v>9750</v>
      </c>
      <c r="K649" s="11">
        <v>7800</v>
      </c>
      <c r="L649" t="s">
        <v>83</v>
      </c>
      <c r="M649" t="s">
        <v>116</v>
      </c>
      <c r="N649" t="s">
        <v>125</v>
      </c>
    </row>
    <row r="650" spans="1:14">
      <c r="A650" s="20">
        <v>45473</v>
      </c>
      <c r="B650" t="s">
        <v>106</v>
      </c>
      <c r="C650" t="s">
        <v>93</v>
      </c>
      <c r="D650" t="s">
        <v>110</v>
      </c>
      <c r="E650">
        <v>38</v>
      </c>
      <c r="F650">
        <v>182</v>
      </c>
      <c r="G650">
        <v>100</v>
      </c>
      <c r="H650">
        <v>55</v>
      </c>
      <c r="I650" s="11">
        <v>18200</v>
      </c>
      <c r="J650" s="11">
        <v>10010</v>
      </c>
      <c r="K650" s="11">
        <v>8190</v>
      </c>
      <c r="L650" t="s">
        <v>83</v>
      </c>
      <c r="M650" t="s">
        <v>116</v>
      </c>
      <c r="N650" t="s">
        <v>125</v>
      </c>
    </row>
    <row r="651" spans="1:14">
      <c r="A651" s="20">
        <v>45350</v>
      </c>
      <c r="B651" t="s">
        <v>105</v>
      </c>
      <c r="C651" t="s">
        <v>95</v>
      </c>
      <c r="D651" t="s">
        <v>110</v>
      </c>
      <c r="E651">
        <v>32</v>
      </c>
      <c r="F651">
        <v>94</v>
      </c>
      <c r="G651">
        <v>110</v>
      </c>
      <c r="H651">
        <v>60</v>
      </c>
      <c r="I651" s="11">
        <v>10340</v>
      </c>
      <c r="J651" s="11">
        <v>5640</v>
      </c>
      <c r="K651" s="11">
        <v>4700</v>
      </c>
      <c r="L651" t="s">
        <v>79</v>
      </c>
      <c r="M651" t="s">
        <v>115</v>
      </c>
      <c r="N651" t="s">
        <v>124</v>
      </c>
    </row>
    <row r="652" spans="1:14">
      <c r="A652" s="20">
        <v>45551</v>
      </c>
      <c r="B652" t="s">
        <v>103</v>
      </c>
      <c r="C652" t="s">
        <v>93</v>
      </c>
      <c r="D652" t="s">
        <v>110</v>
      </c>
      <c r="E652">
        <v>26</v>
      </c>
      <c r="F652">
        <v>76</v>
      </c>
      <c r="G652">
        <v>100</v>
      </c>
      <c r="H652">
        <v>55</v>
      </c>
      <c r="I652" s="11">
        <v>7600</v>
      </c>
      <c r="J652" s="11">
        <v>4180</v>
      </c>
      <c r="K652" s="11">
        <v>3420</v>
      </c>
      <c r="L652" t="s">
        <v>86</v>
      </c>
      <c r="M652" t="s">
        <v>117</v>
      </c>
      <c r="N652" t="s">
        <v>123</v>
      </c>
    </row>
    <row r="653" spans="1:14">
      <c r="A653" s="20">
        <v>45384</v>
      </c>
      <c r="B653" t="s">
        <v>103</v>
      </c>
      <c r="C653" t="s">
        <v>97</v>
      </c>
      <c r="D653" t="s">
        <v>111</v>
      </c>
      <c r="E653">
        <v>39</v>
      </c>
      <c r="F653">
        <v>168</v>
      </c>
      <c r="G653">
        <v>130</v>
      </c>
      <c r="H653">
        <v>70</v>
      </c>
      <c r="I653" s="11">
        <v>21840</v>
      </c>
      <c r="J653" s="11">
        <v>11760</v>
      </c>
      <c r="K653" s="11">
        <v>10080</v>
      </c>
      <c r="L653" t="s">
        <v>81</v>
      </c>
      <c r="M653" t="s">
        <v>116</v>
      </c>
      <c r="N653" t="s">
        <v>125</v>
      </c>
    </row>
    <row r="654" spans="1:14">
      <c r="A654" s="20">
        <v>45409</v>
      </c>
      <c r="B654" t="s">
        <v>106</v>
      </c>
      <c r="C654" t="s">
        <v>95</v>
      </c>
      <c r="D654" t="s">
        <v>111</v>
      </c>
      <c r="E654">
        <v>33</v>
      </c>
      <c r="F654">
        <v>139</v>
      </c>
      <c r="G654">
        <v>110</v>
      </c>
      <c r="H654">
        <v>60</v>
      </c>
      <c r="I654" s="11">
        <v>15290</v>
      </c>
      <c r="J654" s="11">
        <v>8340</v>
      </c>
      <c r="K654" s="11">
        <v>6950</v>
      </c>
      <c r="L654" t="s">
        <v>81</v>
      </c>
      <c r="M654" t="s">
        <v>116</v>
      </c>
      <c r="N654" t="s">
        <v>124</v>
      </c>
    </row>
    <row r="655" spans="1:14">
      <c r="A655" s="20">
        <v>45584</v>
      </c>
      <c r="B655" t="s">
        <v>105</v>
      </c>
      <c r="C655" t="s">
        <v>98</v>
      </c>
      <c r="D655" t="s">
        <v>110</v>
      </c>
      <c r="E655">
        <v>33</v>
      </c>
      <c r="F655">
        <v>104</v>
      </c>
      <c r="G655">
        <v>100</v>
      </c>
      <c r="H655">
        <v>55</v>
      </c>
      <c r="I655" s="11">
        <v>10400</v>
      </c>
      <c r="J655" s="11">
        <v>5720</v>
      </c>
      <c r="K655" s="11">
        <v>4680</v>
      </c>
      <c r="L655" t="s">
        <v>87</v>
      </c>
      <c r="M655" t="s">
        <v>118</v>
      </c>
      <c r="N655" t="s">
        <v>124</v>
      </c>
    </row>
    <row r="656" spans="1:14">
      <c r="A656" s="20">
        <v>45655</v>
      </c>
      <c r="B656" t="s">
        <v>103</v>
      </c>
      <c r="C656" t="s">
        <v>93</v>
      </c>
      <c r="D656" t="s">
        <v>110</v>
      </c>
      <c r="E656">
        <v>27</v>
      </c>
      <c r="F656">
        <v>49</v>
      </c>
      <c r="G656">
        <v>100</v>
      </c>
      <c r="H656">
        <v>55</v>
      </c>
      <c r="I656" s="11">
        <v>4900</v>
      </c>
      <c r="J656" s="11">
        <v>2695</v>
      </c>
      <c r="K656" s="11">
        <v>2205</v>
      </c>
      <c r="L656" t="s">
        <v>89</v>
      </c>
      <c r="M656" t="s">
        <v>118</v>
      </c>
      <c r="N656" t="s">
        <v>123</v>
      </c>
    </row>
    <row r="657" spans="1:14">
      <c r="A657" s="20">
        <v>45500</v>
      </c>
      <c r="B657" t="s">
        <v>106</v>
      </c>
      <c r="C657" t="s">
        <v>96</v>
      </c>
      <c r="D657" t="s">
        <v>112</v>
      </c>
      <c r="E657">
        <v>32</v>
      </c>
      <c r="F657">
        <v>91</v>
      </c>
      <c r="G657">
        <v>90</v>
      </c>
      <c r="H657">
        <v>50</v>
      </c>
      <c r="I657" s="11">
        <v>8190</v>
      </c>
      <c r="J657" s="11">
        <v>4550</v>
      </c>
      <c r="K657" s="11">
        <v>3640</v>
      </c>
      <c r="L657" t="s">
        <v>84</v>
      </c>
      <c r="M657" t="s">
        <v>117</v>
      </c>
      <c r="N657" t="s">
        <v>124</v>
      </c>
    </row>
    <row r="658" spans="1:14">
      <c r="A658" s="20">
        <v>45336</v>
      </c>
      <c r="B658" t="s">
        <v>105</v>
      </c>
      <c r="C658" t="s">
        <v>97</v>
      </c>
      <c r="D658" t="s">
        <v>110</v>
      </c>
      <c r="E658">
        <v>28</v>
      </c>
      <c r="F658">
        <v>102</v>
      </c>
      <c r="G658">
        <v>130</v>
      </c>
      <c r="H658">
        <v>70</v>
      </c>
      <c r="I658" s="11">
        <v>13260</v>
      </c>
      <c r="J658" s="11">
        <v>7140</v>
      </c>
      <c r="K658" s="11">
        <v>6120</v>
      </c>
      <c r="L658" t="s">
        <v>79</v>
      </c>
      <c r="M658" t="s">
        <v>115</v>
      </c>
      <c r="N658" t="s">
        <v>123</v>
      </c>
    </row>
    <row r="659" spans="1:14">
      <c r="A659" s="20">
        <v>45470</v>
      </c>
      <c r="B659" t="s">
        <v>106</v>
      </c>
      <c r="C659" t="s">
        <v>94</v>
      </c>
      <c r="D659" t="s">
        <v>111</v>
      </c>
      <c r="E659">
        <v>40</v>
      </c>
      <c r="F659">
        <v>168</v>
      </c>
      <c r="G659">
        <v>80</v>
      </c>
      <c r="H659">
        <v>45</v>
      </c>
      <c r="I659" s="11">
        <v>13440</v>
      </c>
      <c r="J659" s="11">
        <v>7560</v>
      </c>
      <c r="K659" s="11">
        <v>5880</v>
      </c>
      <c r="L659" t="s">
        <v>83</v>
      </c>
      <c r="M659" t="s">
        <v>116</v>
      </c>
      <c r="N659" t="s">
        <v>125</v>
      </c>
    </row>
    <row r="660" spans="1:14">
      <c r="A660" s="20">
        <v>45555</v>
      </c>
      <c r="B660" t="s">
        <v>105</v>
      </c>
      <c r="C660" t="s">
        <v>97</v>
      </c>
      <c r="D660" t="s">
        <v>110</v>
      </c>
      <c r="E660">
        <v>32</v>
      </c>
      <c r="F660">
        <v>82</v>
      </c>
      <c r="G660">
        <v>130</v>
      </c>
      <c r="H660">
        <v>70</v>
      </c>
      <c r="I660" s="11">
        <v>10660</v>
      </c>
      <c r="J660" s="11">
        <v>5740</v>
      </c>
      <c r="K660" s="11">
        <v>4920</v>
      </c>
      <c r="L660" t="s">
        <v>86</v>
      </c>
      <c r="M660" t="s">
        <v>117</v>
      </c>
      <c r="N660" t="s">
        <v>124</v>
      </c>
    </row>
    <row r="661" spans="1:14">
      <c r="A661" s="20">
        <v>45559</v>
      </c>
      <c r="B661" t="s">
        <v>106</v>
      </c>
      <c r="C661" t="s">
        <v>98</v>
      </c>
      <c r="D661" t="s">
        <v>112</v>
      </c>
      <c r="E661">
        <v>27</v>
      </c>
      <c r="F661">
        <v>48</v>
      </c>
      <c r="G661">
        <v>100</v>
      </c>
      <c r="H661">
        <v>55</v>
      </c>
      <c r="I661" s="11">
        <v>4800</v>
      </c>
      <c r="J661" s="11">
        <v>2640</v>
      </c>
      <c r="K661" s="11">
        <v>2160</v>
      </c>
      <c r="L661" t="s">
        <v>86</v>
      </c>
      <c r="M661" t="s">
        <v>117</v>
      </c>
      <c r="N661" t="s">
        <v>123</v>
      </c>
    </row>
    <row r="662" spans="1:14">
      <c r="A662" s="20">
        <v>45362</v>
      </c>
      <c r="B662" t="s">
        <v>103</v>
      </c>
      <c r="C662" t="s">
        <v>94</v>
      </c>
      <c r="D662" t="s">
        <v>110</v>
      </c>
      <c r="E662">
        <v>39</v>
      </c>
      <c r="F662">
        <v>151</v>
      </c>
      <c r="G662">
        <v>80</v>
      </c>
      <c r="H662">
        <v>45</v>
      </c>
      <c r="I662" s="11">
        <v>12080</v>
      </c>
      <c r="J662" s="11">
        <v>6795</v>
      </c>
      <c r="K662" s="11">
        <v>5285</v>
      </c>
      <c r="L662" t="s">
        <v>80</v>
      </c>
      <c r="M662" t="s">
        <v>115</v>
      </c>
      <c r="N662" t="s">
        <v>125</v>
      </c>
    </row>
    <row r="663" spans="1:14">
      <c r="A663" s="20">
        <v>45343</v>
      </c>
      <c r="B663" t="s">
        <v>104</v>
      </c>
      <c r="C663" t="s">
        <v>93</v>
      </c>
      <c r="D663" t="s">
        <v>112</v>
      </c>
      <c r="E663">
        <v>33</v>
      </c>
      <c r="F663">
        <v>69</v>
      </c>
      <c r="G663">
        <v>100</v>
      </c>
      <c r="H663">
        <v>55</v>
      </c>
      <c r="I663" s="11">
        <v>6900</v>
      </c>
      <c r="J663" s="11">
        <v>3795</v>
      </c>
      <c r="K663" s="11">
        <v>3105</v>
      </c>
      <c r="L663" t="s">
        <v>79</v>
      </c>
      <c r="M663" t="s">
        <v>115</v>
      </c>
      <c r="N663" t="s">
        <v>124</v>
      </c>
    </row>
    <row r="664" spans="1:14">
      <c r="A664" s="20">
        <v>45587</v>
      </c>
      <c r="B664" t="s">
        <v>103</v>
      </c>
      <c r="C664" t="s">
        <v>94</v>
      </c>
      <c r="D664" t="s">
        <v>110</v>
      </c>
      <c r="E664">
        <v>33</v>
      </c>
      <c r="F664">
        <v>93</v>
      </c>
      <c r="G664">
        <v>80</v>
      </c>
      <c r="H664">
        <v>45</v>
      </c>
      <c r="I664" s="11">
        <v>7440</v>
      </c>
      <c r="J664" s="11">
        <v>4185</v>
      </c>
      <c r="K664" s="11">
        <v>3255</v>
      </c>
      <c r="L664" t="s">
        <v>87</v>
      </c>
      <c r="M664" t="s">
        <v>118</v>
      </c>
      <c r="N664" t="s">
        <v>124</v>
      </c>
    </row>
    <row r="665" spans="1:14">
      <c r="A665" s="20">
        <v>45384</v>
      </c>
      <c r="B665" t="s">
        <v>103</v>
      </c>
      <c r="C665" t="s">
        <v>94</v>
      </c>
      <c r="D665" t="s">
        <v>110</v>
      </c>
      <c r="E665">
        <v>35</v>
      </c>
      <c r="F665">
        <v>98</v>
      </c>
      <c r="G665">
        <v>80</v>
      </c>
      <c r="H665">
        <v>45</v>
      </c>
      <c r="I665" s="11">
        <v>7840</v>
      </c>
      <c r="J665" s="11">
        <v>4410</v>
      </c>
      <c r="K665" s="11">
        <v>3430</v>
      </c>
      <c r="L665" t="s">
        <v>81</v>
      </c>
      <c r="M665" t="s">
        <v>116</v>
      </c>
      <c r="N665" t="s">
        <v>124</v>
      </c>
    </row>
    <row r="666" spans="1:14">
      <c r="A666" s="20">
        <v>45416</v>
      </c>
      <c r="B666" t="s">
        <v>106</v>
      </c>
      <c r="C666" t="s">
        <v>93</v>
      </c>
      <c r="D666" t="s">
        <v>110</v>
      </c>
      <c r="E666">
        <v>33</v>
      </c>
      <c r="F666">
        <v>53</v>
      </c>
      <c r="G666">
        <v>100</v>
      </c>
      <c r="H666">
        <v>55</v>
      </c>
      <c r="I666" s="11">
        <v>5300</v>
      </c>
      <c r="J666" s="11">
        <v>2915</v>
      </c>
      <c r="K666" s="11">
        <v>2385</v>
      </c>
      <c r="L666" t="s">
        <v>82</v>
      </c>
      <c r="M666" t="s">
        <v>116</v>
      </c>
      <c r="N666" t="s">
        <v>124</v>
      </c>
    </row>
    <row r="667" spans="1:14">
      <c r="A667" s="20">
        <v>45457</v>
      </c>
      <c r="B667" t="s">
        <v>103</v>
      </c>
      <c r="C667" t="s">
        <v>98</v>
      </c>
      <c r="D667" t="s">
        <v>110</v>
      </c>
      <c r="E667">
        <v>38</v>
      </c>
      <c r="F667">
        <v>179</v>
      </c>
      <c r="G667">
        <v>100</v>
      </c>
      <c r="H667">
        <v>55</v>
      </c>
      <c r="I667" s="11">
        <v>17900</v>
      </c>
      <c r="J667" s="11">
        <v>9845</v>
      </c>
      <c r="K667" s="11">
        <v>8055</v>
      </c>
      <c r="L667" t="s">
        <v>83</v>
      </c>
      <c r="M667" t="s">
        <v>116</v>
      </c>
      <c r="N667" t="s">
        <v>125</v>
      </c>
    </row>
    <row r="668" spans="1:14">
      <c r="A668" s="20">
        <v>45302</v>
      </c>
      <c r="B668" t="s">
        <v>106</v>
      </c>
      <c r="C668" t="s">
        <v>96</v>
      </c>
      <c r="D668" t="s">
        <v>110</v>
      </c>
      <c r="E668">
        <v>27</v>
      </c>
      <c r="F668">
        <v>47</v>
      </c>
      <c r="G668">
        <v>90</v>
      </c>
      <c r="H668">
        <v>50</v>
      </c>
      <c r="I668" s="11">
        <v>4230</v>
      </c>
      <c r="J668" s="11">
        <v>2350</v>
      </c>
      <c r="K668" s="11">
        <v>1880</v>
      </c>
      <c r="L668" t="s">
        <v>78</v>
      </c>
      <c r="M668" t="s">
        <v>115</v>
      </c>
      <c r="N668" t="s">
        <v>123</v>
      </c>
    </row>
    <row r="669" spans="1:14">
      <c r="A669" s="20">
        <v>45419</v>
      </c>
      <c r="B669" t="s">
        <v>105</v>
      </c>
      <c r="C669" t="s">
        <v>94</v>
      </c>
      <c r="D669" t="s">
        <v>110</v>
      </c>
      <c r="E669">
        <v>32</v>
      </c>
      <c r="F669">
        <v>136</v>
      </c>
      <c r="G669">
        <v>80</v>
      </c>
      <c r="H669">
        <v>45</v>
      </c>
      <c r="I669" s="11">
        <v>10880</v>
      </c>
      <c r="J669" s="11">
        <v>6120</v>
      </c>
      <c r="K669" s="11">
        <v>4760</v>
      </c>
      <c r="L669" t="s">
        <v>82</v>
      </c>
      <c r="M669" t="s">
        <v>116</v>
      </c>
      <c r="N669" t="s">
        <v>124</v>
      </c>
    </row>
    <row r="670" spans="1:14">
      <c r="A670" s="20">
        <v>45356</v>
      </c>
      <c r="B670" t="s">
        <v>103</v>
      </c>
      <c r="C670" t="s">
        <v>93</v>
      </c>
      <c r="D670" t="s">
        <v>111</v>
      </c>
      <c r="E670">
        <v>36</v>
      </c>
      <c r="F670">
        <v>155</v>
      </c>
      <c r="G670">
        <v>100</v>
      </c>
      <c r="H670">
        <v>55</v>
      </c>
      <c r="I670" s="11">
        <v>15500</v>
      </c>
      <c r="J670" s="11">
        <v>8525</v>
      </c>
      <c r="K670" s="11">
        <v>6975</v>
      </c>
      <c r="L670" t="s">
        <v>80</v>
      </c>
      <c r="M670" t="s">
        <v>115</v>
      </c>
      <c r="N670" t="s">
        <v>125</v>
      </c>
    </row>
    <row r="671" spans="1:14">
      <c r="A671" s="20">
        <v>45475</v>
      </c>
      <c r="B671" t="s">
        <v>103</v>
      </c>
      <c r="C671" t="s">
        <v>93</v>
      </c>
      <c r="D671" t="s">
        <v>110</v>
      </c>
      <c r="E671">
        <v>28</v>
      </c>
      <c r="F671">
        <v>47</v>
      </c>
      <c r="G671">
        <v>100</v>
      </c>
      <c r="H671">
        <v>55</v>
      </c>
      <c r="I671" s="11">
        <v>4700</v>
      </c>
      <c r="J671" s="11">
        <v>2585</v>
      </c>
      <c r="K671" s="11">
        <v>2115</v>
      </c>
      <c r="L671" t="s">
        <v>84</v>
      </c>
      <c r="M671" t="s">
        <v>117</v>
      </c>
      <c r="N671" t="s">
        <v>123</v>
      </c>
    </row>
    <row r="672" spans="1:14">
      <c r="A672" s="20">
        <v>45397</v>
      </c>
      <c r="B672" t="s">
        <v>104</v>
      </c>
      <c r="C672" t="s">
        <v>93</v>
      </c>
      <c r="D672" t="s">
        <v>111</v>
      </c>
      <c r="E672">
        <v>40</v>
      </c>
      <c r="F672">
        <v>130</v>
      </c>
      <c r="G672">
        <v>100</v>
      </c>
      <c r="H672">
        <v>55</v>
      </c>
      <c r="I672" s="11">
        <v>13000</v>
      </c>
      <c r="J672" s="11">
        <v>7150</v>
      </c>
      <c r="K672" s="11">
        <v>5850</v>
      </c>
      <c r="L672" t="s">
        <v>81</v>
      </c>
      <c r="M672" t="s">
        <v>116</v>
      </c>
      <c r="N672" t="s">
        <v>125</v>
      </c>
    </row>
    <row r="673" spans="1:14">
      <c r="A673" s="20">
        <v>45331</v>
      </c>
      <c r="B673" t="s">
        <v>103</v>
      </c>
      <c r="C673" t="s">
        <v>93</v>
      </c>
      <c r="D673" t="s">
        <v>110</v>
      </c>
      <c r="E673">
        <v>34</v>
      </c>
      <c r="F673">
        <v>109</v>
      </c>
      <c r="G673">
        <v>100</v>
      </c>
      <c r="H673">
        <v>55</v>
      </c>
      <c r="I673" s="11">
        <v>10900</v>
      </c>
      <c r="J673" s="11">
        <v>5995</v>
      </c>
      <c r="K673" s="11">
        <v>4905</v>
      </c>
      <c r="L673" t="s">
        <v>79</v>
      </c>
      <c r="M673" t="s">
        <v>115</v>
      </c>
      <c r="N673" t="s">
        <v>124</v>
      </c>
    </row>
    <row r="674" spans="1:14">
      <c r="A674" s="20">
        <v>45623</v>
      </c>
      <c r="B674" t="s">
        <v>106</v>
      </c>
      <c r="C674" t="s">
        <v>93</v>
      </c>
      <c r="D674" t="s">
        <v>110</v>
      </c>
      <c r="E674">
        <v>19</v>
      </c>
      <c r="F674">
        <v>44</v>
      </c>
      <c r="G674">
        <v>100</v>
      </c>
      <c r="H674">
        <v>55</v>
      </c>
      <c r="I674" s="11">
        <v>4400</v>
      </c>
      <c r="J674" s="11">
        <v>2420</v>
      </c>
      <c r="K674" s="11">
        <v>1980</v>
      </c>
      <c r="L674" t="s">
        <v>88</v>
      </c>
      <c r="M674" t="s">
        <v>118</v>
      </c>
      <c r="N674" t="s">
        <v>122</v>
      </c>
    </row>
    <row r="675" spans="1:14">
      <c r="A675" s="20">
        <v>45586</v>
      </c>
      <c r="B675" t="s">
        <v>105</v>
      </c>
      <c r="C675" t="s">
        <v>93</v>
      </c>
      <c r="D675" t="s">
        <v>110</v>
      </c>
      <c r="E675">
        <v>26</v>
      </c>
      <c r="F675">
        <v>42</v>
      </c>
      <c r="G675">
        <v>100</v>
      </c>
      <c r="H675">
        <v>55</v>
      </c>
      <c r="I675" s="11">
        <v>4200</v>
      </c>
      <c r="J675" s="11">
        <v>2310</v>
      </c>
      <c r="K675" s="11">
        <v>1890</v>
      </c>
      <c r="L675" t="s">
        <v>87</v>
      </c>
      <c r="M675" t="s">
        <v>118</v>
      </c>
      <c r="N675" t="s">
        <v>123</v>
      </c>
    </row>
    <row r="676" spans="1:14">
      <c r="A676" s="20">
        <v>45520</v>
      </c>
      <c r="B676" t="s">
        <v>105</v>
      </c>
      <c r="C676" t="s">
        <v>96</v>
      </c>
      <c r="D676" t="s">
        <v>111</v>
      </c>
      <c r="E676">
        <v>31</v>
      </c>
      <c r="F676">
        <v>43</v>
      </c>
      <c r="G676">
        <v>90</v>
      </c>
      <c r="H676">
        <v>50</v>
      </c>
      <c r="I676" s="11">
        <v>3870</v>
      </c>
      <c r="J676" s="11">
        <v>2150</v>
      </c>
      <c r="K676" s="11">
        <v>1720</v>
      </c>
      <c r="L676" t="s">
        <v>85</v>
      </c>
      <c r="M676" t="s">
        <v>117</v>
      </c>
      <c r="N676" t="s">
        <v>124</v>
      </c>
    </row>
    <row r="677" spans="1:14">
      <c r="A677" s="20">
        <v>45423</v>
      </c>
      <c r="B677" t="s">
        <v>106</v>
      </c>
      <c r="C677" t="s">
        <v>97</v>
      </c>
      <c r="D677" t="s">
        <v>111</v>
      </c>
      <c r="E677">
        <v>36</v>
      </c>
      <c r="F677">
        <v>169</v>
      </c>
      <c r="G677">
        <v>130</v>
      </c>
      <c r="H677">
        <v>70</v>
      </c>
      <c r="I677" s="11">
        <v>21970</v>
      </c>
      <c r="J677" s="11">
        <v>11830</v>
      </c>
      <c r="K677" s="11">
        <v>10140</v>
      </c>
      <c r="L677" t="s">
        <v>82</v>
      </c>
      <c r="M677" t="s">
        <v>116</v>
      </c>
      <c r="N677" t="s">
        <v>125</v>
      </c>
    </row>
    <row r="678" spans="1:14">
      <c r="A678" s="20">
        <v>45513</v>
      </c>
      <c r="B678" t="s">
        <v>104</v>
      </c>
      <c r="C678" t="s">
        <v>98</v>
      </c>
      <c r="D678" t="s">
        <v>110</v>
      </c>
      <c r="E678">
        <v>31</v>
      </c>
      <c r="F678">
        <v>109</v>
      </c>
      <c r="G678">
        <v>100</v>
      </c>
      <c r="H678">
        <v>55</v>
      </c>
      <c r="I678" s="11">
        <v>10900</v>
      </c>
      <c r="J678" s="11">
        <v>5995</v>
      </c>
      <c r="K678" s="11">
        <v>4905</v>
      </c>
      <c r="L678" t="s">
        <v>85</v>
      </c>
      <c r="M678" t="s">
        <v>117</v>
      </c>
      <c r="N678" t="s">
        <v>124</v>
      </c>
    </row>
    <row r="679" spans="1:14">
      <c r="A679" s="20">
        <v>45387</v>
      </c>
      <c r="B679" t="s">
        <v>106</v>
      </c>
      <c r="C679" t="s">
        <v>97</v>
      </c>
      <c r="D679" t="s">
        <v>111</v>
      </c>
      <c r="E679">
        <v>34</v>
      </c>
      <c r="F679">
        <v>55</v>
      </c>
      <c r="G679">
        <v>130</v>
      </c>
      <c r="H679">
        <v>70</v>
      </c>
      <c r="I679" s="11">
        <v>7150</v>
      </c>
      <c r="J679" s="11">
        <v>3850</v>
      </c>
      <c r="K679" s="11">
        <v>3300</v>
      </c>
      <c r="L679" t="s">
        <v>81</v>
      </c>
      <c r="M679" t="s">
        <v>116</v>
      </c>
      <c r="N679" t="s">
        <v>124</v>
      </c>
    </row>
    <row r="680" spans="1:14">
      <c r="A680" s="20">
        <v>45547</v>
      </c>
      <c r="B680" t="s">
        <v>104</v>
      </c>
      <c r="C680" t="s">
        <v>94</v>
      </c>
      <c r="D680" t="s">
        <v>111</v>
      </c>
      <c r="E680">
        <v>29</v>
      </c>
      <c r="F680">
        <v>98</v>
      </c>
      <c r="G680">
        <v>80</v>
      </c>
      <c r="H680">
        <v>45</v>
      </c>
      <c r="I680" s="11">
        <v>7840</v>
      </c>
      <c r="J680" s="11">
        <v>4410</v>
      </c>
      <c r="K680" s="11">
        <v>3430</v>
      </c>
      <c r="L680" t="s">
        <v>86</v>
      </c>
      <c r="M680" t="s">
        <v>117</v>
      </c>
      <c r="N680" t="s">
        <v>123</v>
      </c>
    </row>
    <row r="681" spans="1:14">
      <c r="A681" s="20">
        <v>45636</v>
      </c>
      <c r="B681" t="s">
        <v>103</v>
      </c>
      <c r="C681" t="s">
        <v>94</v>
      </c>
      <c r="D681" t="s">
        <v>111</v>
      </c>
      <c r="E681">
        <v>24</v>
      </c>
      <c r="F681">
        <v>29</v>
      </c>
      <c r="G681">
        <v>80</v>
      </c>
      <c r="H681">
        <v>45</v>
      </c>
      <c r="I681" s="11">
        <v>2320</v>
      </c>
      <c r="J681" s="11">
        <v>1305</v>
      </c>
      <c r="K681" s="11">
        <v>1015</v>
      </c>
      <c r="L681" t="s">
        <v>89</v>
      </c>
      <c r="M681" t="s">
        <v>118</v>
      </c>
      <c r="N681" t="s">
        <v>122</v>
      </c>
    </row>
    <row r="682" spans="1:14">
      <c r="A682" s="20">
        <v>45304</v>
      </c>
      <c r="B682" t="s">
        <v>105</v>
      </c>
      <c r="C682" t="s">
        <v>96</v>
      </c>
      <c r="D682" t="s">
        <v>110</v>
      </c>
      <c r="E682">
        <v>18</v>
      </c>
      <c r="F682">
        <v>22</v>
      </c>
      <c r="G682">
        <v>90</v>
      </c>
      <c r="H682">
        <v>50</v>
      </c>
      <c r="I682" s="11">
        <v>1980</v>
      </c>
      <c r="J682" s="11">
        <v>1100</v>
      </c>
      <c r="K682" s="11">
        <v>880</v>
      </c>
      <c r="L682" t="s">
        <v>78</v>
      </c>
      <c r="M682" t="s">
        <v>115</v>
      </c>
      <c r="N682" t="s">
        <v>122</v>
      </c>
    </row>
    <row r="683" spans="1:14">
      <c r="A683" s="20">
        <v>45564</v>
      </c>
      <c r="B683" t="s">
        <v>103</v>
      </c>
      <c r="C683" t="s">
        <v>93</v>
      </c>
      <c r="D683" t="s">
        <v>112</v>
      </c>
      <c r="E683">
        <v>33</v>
      </c>
      <c r="F683">
        <v>52</v>
      </c>
      <c r="G683">
        <v>100</v>
      </c>
      <c r="H683">
        <v>55</v>
      </c>
      <c r="I683" s="11">
        <v>5200</v>
      </c>
      <c r="J683" s="11">
        <v>2860</v>
      </c>
      <c r="K683" s="11">
        <v>2340</v>
      </c>
      <c r="L683" t="s">
        <v>86</v>
      </c>
      <c r="M683" t="s">
        <v>117</v>
      </c>
      <c r="N683" t="s">
        <v>124</v>
      </c>
    </row>
    <row r="684" spans="1:14">
      <c r="A684" s="20">
        <v>45555</v>
      </c>
      <c r="B684" t="s">
        <v>105</v>
      </c>
      <c r="C684" t="s">
        <v>97</v>
      </c>
      <c r="D684" t="s">
        <v>111</v>
      </c>
      <c r="E684">
        <v>34</v>
      </c>
      <c r="F684">
        <v>57</v>
      </c>
      <c r="G684">
        <v>130</v>
      </c>
      <c r="H684">
        <v>70</v>
      </c>
      <c r="I684" s="11">
        <v>7410</v>
      </c>
      <c r="J684" s="11">
        <v>3990</v>
      </c>
      <c r="K684" s="11">
        <v>3420</v>
      </c>
      <c r="L684" t="s">
        <v>86</v>
      </c>
      <c r="M684" t="s">
        <v>117</v>
      </c>
      <c r="N684" t="s">
        <v>124</v>
      </c>
    </row>
    <row r="685" spans="1:14">
      <c r="A685" s="20">
        <v>45480</v>
      </c>
      <c r="B685" t="s">
        <v>104</v>
      </c>
      <c r="C685" t="s">
        <v>94</v>
      </c>
      <c r="D685" t="s">
        <v>110</v>
      </c>
      <c r="E685">
        <v>32</v>
      </c>
      <c r="F685">
        <v>46</v>
      </c>
      <c r="G685">
        <v>80</v>
      </c>
      <c r="H685">
        <v>45</v>
      </c>
      <c r="I685" s="11">
        <v>3680</v>
      </c>
      <c r="J685" s="11">
        <v>2070</v>
      </c>
      <c r="K685" s="11">
        <v>1610</v>
      </c>
      <c r="L685" t="s">
        <v>84</v>
      </c>
      <c r="M685" t="s">
        <v>117</v>
      </c>
      <c r="N685" t="s">
        <v>124</v>
      </c>
    </row>
    <row r="686" spans="1:14">
      <c r="A686" s="20">
        <v>45304</v>
      </c>
      <c r="B686" t="s">
        <v>104</v>
      </c>
      <c r="C686" t="s">
        <v>95</v>
      </c>
      <c r="D686" t="s">
        <v>111</v>
      </c>
      <c r="E686">
        <v>22</v>
      </c>
      <c r="F686">
        <v>22</v>
      </c>
      <c r="G686">
        <v>110</v>
      </c>
      <c r="H686">
        <v>60</v>
      </c>
      <c r="I686" s="11">
        <v>2420</v>
      </c>
      <c r="J686" s="11">
        <v>1320</v>
      </c>
      <c r="K686" s="11">
        <v>1100</v>
      </c>
      <c r="L686" t="s">
        <v>78</v>
      </c>
      <c r="M686" t="s">
        <v>115</v>
      </c>
      <c r="N686" t="s">
        <v>122</v>
      </c>
    </row>
    <row r="687" spans="1:14">
      <c r="A687" s="20">
        <v>45385</v>
      </c>
      <c r="B687" t="s">
        <v>103</v>
      </c>
      <c r="C687" t="s">
        <v>94</v>
      </c>
      <c r="D687" t="s">
        <v>111</v>
      </c>
      <c r="E687">
        <v>40</v>
      </c>
      <c r="F687">
        <v>165</v>
      </c>
      <c r="G687">
        <v>80</v>
      </c>
      <c r="H687">
        <v>45</v>
      </c>
      <c r="I687" s="11">
        <v>13200</v>
      </c>
      <c r="J687" s="11">
        <v>7425</v>
      </c>
      <c r="K687" s="11">
        <v>5775</v>
      </c>
      <c r="L687" t="s">
        <v>81</v>
      </c>
      <c r="M687" t="s">
        <v>116</v>
      </c>
      <c r="N687" t="s">
        <v>125</v>
      </c>
    </row>
    <row r="688" spans="1:14">
      <c r="A688" s="20">
        <v>45471</v>
      </c>
      <c r="B688" t="s">
        <v>104</v>
      </c>
      <c r="C688" t="s">
        <v>96</v>
      </c>
      <c r="D688" t="s">
        <v>110</v>
      </c>
      <c r="E688">
        <v>35</v>
      </c>
      <c r="F688">
        <v>106</v>
      </c>
      <c r="G688">
        <v>90</v>
      </c>
      <c r="H688">
        <v>50</v>
      </c>
      <c r="I688" s="11">
        <v>9540</v>
      </c>
      <c r="J688" s="11">
        <v>5300</v>
      </c>
      <c r="K688" s="11">
        <v>4240</v>
      </c>
      <c r="L688" t="s">
        <v>83</v>
      </c>
      <c r="M688" t="s">
        <v>116</v>
      </c>
      <c r="N688" t="s">
        <v>124</v>
      </c>
    </row>
    <row r="689" spans="1:14">
      <c r="A689" s="20">
        <v>45428</v>
      </c>
      <c r="B689" t="s">
        <v>103</v>
      </c>
      <c r="C689" t="s">
        <v>98</v>
      </c>
      <c r="D689" t="s">
        <v>110</v>
      </c>
      <c r="E689">
        <v>40</v>
      </c>
      <c r="F689">
        <v>147</v>
      </c>
      <c r="G689">
        <v>100</v>
      </c>
      <c r="H689">
        <v>55</v>
      </c>
      <c r="I689" s="11">
        <v>14700</v>
      </c>
      <c r="J689" s="11">
        <v>8085</v>
      </c>
      <c r="K689" s="11">
        <v>6615</v>
      </c>
      <c r="L689" t="s">
        <v>82</v>
      </c>
      <c r="M689" t="s">
        <v>116</v>
      </c>
      <c r="N689" t="s">
        <v>125</v>
      </c>
    </row>
    <row r="690" spans="1:14">
      <c r="A690" s="20">
        <v>45579</v>
      </c>
      <c r="B690" t="s">
        <v>105</v>
      </c>
      <c r="C690" t="s">
        <v>94</v>
      </c>
      <c r="D690" t="s">
        <v>110</v>
      </c>
      <c r="E690">
        <v>33</v>
      </c>
      <c r="F690">
        <v>86</v>
      </c>
      <c r="G690">
        <v>80</v>
      </c>
      <c r="H690">
        <v>45</v>
      </c>
      <c r="I690" s="11">
        <v>6880</v>
      </c>
      <c r="J690" s="11">
        <v>3870</v>
      </c>
      <c r="K690" s="11">
        <v>3010</v>
      </c>
      <c r="L690" t="s">
        <v>87</v>
      </c>
      <c r="M690" t="s">
        <v>118</v>
      </c>
      <c r="N690" t="s">
        <v>124</v>
      </c>
    </row>
    <row r="691" spans="1:14">
      <c r="A691" s="20">
        <v>45363</v>
      </c>
      <c r="B691" t="s">
        <v>105</v>
      </c>
      <c r="C691" t="s">
        <v>97</v>
      </c>
      <c r="D691" t="s">
        <v>111</v>
      </c>
      <c r="E691">
        <v>34</v>
      </c>
      <c r="F691">
        <v>91</v>
      </c>
      <c r="G691">
        <v>130</v>
      </c>
      <c r="H691">
        <v>70</v>
      </c>
      <c r="I691" s="11">
        <v>11830</v>
      </c>
      <c r="J691" s="11">
        <v>6370</v>
      </c>
      <c r="K691" s="11">
        <v>5460</v>
      </c>
      <c r="L691" t="s">
        <v>80</v>
      </c>
      <c r="M691" t="s">
        <v>115</v>
      </c>
      <c r="N691" t="s">
        <v>124</v>
      </c>
    </row>
    <row r="692" spans="1:14">
      <c r="A692" s="20">
        <v>45430</v>
      </c>
      <c r="B692" t="s">
        <v>105</v>
      </c>
      <c r="C692" t="s">
        <v>96</v>
      </c>
      <c r="D692" t="s">
        <v>110</v>
      </c>
      <c r="E692">
        <v>39</v>
      </c>
      <c r="F692">
        <v>134</v>
      </c>
      <c r="G692">
        <v>90</v>
      </c>
      <c r="H692">
        <v>50</v>
      </c>
      <c r="I692" s="11">
        <v>12060</v>
      </c>
      <c r="J692" s="11">
        <v>6700</v>
      </c>
      <c r="K692" s="11">
        <v>5360</v>
      </c>
      <c r="L692" t="s">
        <v>82</v>
      </c>
      <c r="M692" t="s">
        <v>116</v>
      </c>
      <c r="N692" t="s">
        <v>125</v>
      </c>
    </row>
    <row r="693" spans="1:14">
      <c r="A693" s="20">
        <v>45347</v>
      </c>
      <c r="B693" t="s">
        <v>103</v>
      </c>
      <c r="C693" t="s">
        <v>93</v>
      </c>
      <c r="D693" t="s">
        <v>110</v>
      </c>
      <c r="E693">
        <v>28</v>
      </c>
      <c r="F693">
        <v>93</v>
      </c>
      <c r="G693">
        <v>100</v>
      </c>
      <c r="H693">
        <v>55</v>
      </c>
      <c r="I693" s="11">
        <v>9300</v>
      </c>
      <c r="J693" s="11">
        <v>5115</v>
      </c>
      <c r="K693" s="11">
        <v>4185</v>
      </c>
      <c r="L693" t="s">
        <v>79</v>
      </c>
      <c r="M693" t="s">
        <v>115</v>
      </c>
      <c r="N693" t="s">
        <v>123</v>
      </c>
    </row>
    <row r="694" spans="1:14">
      <c r="A694" s="20">
        <v>45601</v>
      </c>
      <c r="B694" t="s">
        <v>103</v>
      </c>
      <c r="C694" t="s">
        <v>94</v>
      </c>
      <c r="D694" t="s">
        <v>110</v>
      </c>
      <c r="E694">
        <v>18</v>
      </c>
      <c r="F694">
        <v>33</v>
      </c>
      <c r="G694">
        <v>80</v>
      </c>
      <c r="H694">
        <v>45</v>
      </c>
      <c r="I694" s="11">
        <v>2640</v>
      </c>
      <c r="J694" s="11">
        <v>1485</v>
      </c>
      <c r="K694" s="11">
        <v>1155</v>
      </c>
      <c r="L694" t="s">
        <v>88</v>
      </c>
      <c r="M694" t="s">
        <v>118</v>
      </c>
      <c r="N694" t="s">
        <v>122</v>
      </c>
    </row>
    <row r="695" spans="1:14">
      <c r="A695" s="20">
        <v>45440</v>
      </c>
      <c r="B695" t="s">
        <v>105</v>
      </c>
      <c r="C695" t="s">
        <v>97</v>
      </c>
      <c r="D695" t="s">
        <v>112</v>
      </c>
      <c r="E695">
        <v>37</v>
      </c>
      <c r="F695">
        <v>66</v>
      </c>
      <c r="G695">
        <v>130</v>
      </c>
      <c r="H695">
        <v>70</v>
      </c>
      <c r="I695" s="11">
        <v>8580</v>
      </c>
      <c r="J695" s="11">
        <v>4620</v>
      </c>
      <c r="K695" s="11">
        <v>3960</v>
      </c>
      <c r="L695" t="s">
        <v>82</v>
      </c>
      <c r="M695" t="s">
        <v>116</v>
      </c>
      <c r="N695" t="s">
        <v>125</v>
      </c>
    </row>
    <row r="696" spans="1:14">
      <c r="A696" s="20">
        <v>45438</v>
      </c>
      <c r="B696" t="s">
        <v>103</v>
      </c>
      <c r="C696" t="s">
        <v>94</v>
      </c>
      <c r="D696" t="s">
        <v>111</v>
      </c>
      <c r="E696">
        <v>34</v>
      </c>
      <c r="F696">
        <v>86</v>
      </c>
      <c r="G696">
        <v>80</v>
      </c>
      <c r="H696">
        <v>45</v>
      </c>
      <c r="I696" s="11">
        <v>6880</v>
      </c>
      <c r="J696" s="11">
        <v>3870</v>
      </c>
      <c r="K696" s="11">
        <v>3010</v>
      </c>
      <c r="L696" t="s">
        <v>82</v>
      </c>
      <c r="M696" t="s">
        <v>116</v>
      </c>
      <c r="N696" t="s">
        <v>124</v>
      </c>
    </row>
    <row r="697" spans="1:14">
      <c r="A697" s="20">
        <v>45535</v>
      </c>
      <c r="B697" t="s">
        <v>103</v>
      </c>
      <c r="C697" t="s">
        <v>95</v>
      </c>
      <c r="D697" t="s">
        <v>110</v>
      </c>
      <c r="E697">
        <v>29</v>
      </c>
      <c r="F697">
        <v>87</v>
      </c>
      <c r="G697">
        <v>110</v>
      </c>
      <c r="H697">
        <v>60</v>
      </c>
      <c r="I697" s="11">
        <v>9570</v>
      </c>
      <c r="J697" s="11">
        <v>5220</v>
      </c>
      <c r="K697" s="11">
        <v>4350</v>
      </c>
      <c r="L697" t="s">
        <v>85</v>
      </c>
      <c r="M697" t="s">
        <v>117</v>
      </c>
      <c r="N697" t="s">
        <v>123</v>
      </c>
    </row>
    <row r="698" spans="1:14">
      <c r="A698" s="20">
        <v>45349</v>
      </c>
      <c r="B698" t="s">
        <v>105</v>
      </c>
      <c r="C698" t="s">
        <v>95</v>
      </c>
      <c r="D698" t="s">
        <v>111</v>
      </c>
      <c r="E698">
        <v>28</v>
      </c>
      <c r="F698">
        <v>87</v>
      </c>
      <c r="G698">
        <v>110</v>
      </c>
      <c r="H698">
        <v>60</v>
      </c>
      <c r="I698" s="11">
        <v>9570</v>
      </c>
      <c r="J698" s="11">
        <v>5220</v>
      </c>
      <c r="K698" s="11">
        <v>4350</v>
      </c>
      <c r="L698" t="s">
        <v>79</v>
      </c>
      <c r="M698" t="s">
        <v>115</v>
      </c>
      <c r="N698" t="s">
        <v>123</v>
      </c>
    </row>
    <row r="699" spans="1:14">
      <c r="A699" s="20">
        <v>45529</v>
      </c>
      <c r="B699" t="s">
        <v>104</v>
      </c>
      <c r="C699" t="s">
        <v>94</v>
      </c>
      <c r="D699" t="s">
        <v>110</v>
      </c>
      <c r="E699">
        <v>33</v>
      </c>
      <c r="F699">
        <v>77</v>
      </c>
      <c r="G699">
        <v>80</v>
      </c>
      <c r="H699">
        <v>45</v>
      </c>
      <c r="I699" s="11">
        <v>6160</v>
      </c>
      <c r="J699" s="11">
        <v>3465</v>
      </c>
      <c r="K699" s="11">
        <v>2695</v>
      </c>
      <c r="L699" t="s">
        <v>85</v>
      </c>
      <c r="M699" t="s">
        <v>117</v>
      </c>
      <c r="N699" t="s">
        <v>124</v>
      </c>
    </row>
    <row r="700" spans="1:14">
      <c r="A700" s="20">
        <v>45388</v>
      </c>
      <c r="B700" t="s">
        <v>103</v>
      </c>
      <c r="C700" t="s">
        <v>97</v>
      </c>
      <c r="D700" t="s">
        <v>110</v>
      </c>
      <c r="E700">
        <v>37</v>
      </c>
      <c r="F700">
        <v>181</v>
      </c>
      <c r="G700">
        <v>130</v>
      </c>
      <c r="H700">
        <v>70</v>
      </c>
      <c r="I700" s="11">
        <v>23530</v>
      </c>
      <c r="J700" s="11">
        <v>12670</v>
      </c>
      <c r="K700" s="11">
        <v>10860</v>
      </c>
      <c r="L700" t="s">
        <v>81</v>
      </c>
      <c r="M700" t="s">
        <v>116</v>
      </c>
      <c r="N700" t="s">
        <v>125</v>
      </c>
    </row>
    <row r="701" spans="1:14">
      <c r="A701" s="20">
        <v>45428</v>
      </c>
      <c r="B701" t="s">
        <v>105</v>
      </c>
      <c r="C701" t="s">
        <v>94</v>
      </c>
      <c r="D701" t="s">
        <v>110</v>
      </c>
      <c r="E701">
        <v>40</v>
      </c>
      <c r="F701">
        <v>168</v>
      </c>
      <c r="G701">
        <v>80</v>
      </c>
      <c r="H701">
        <v>45</v>
      </c>
      <c r="I701" s="11">
        <v>13440</v>
      </c>
      <c r="J701" s="11">
        <v>7560</v>
      </c>
      <c r="K701" s="11">
        <v>5880</v>
      </c>
      <c r="L701" t="s">
        <v>82</v>
      </c>
      <c r="M701" t="s">
        <v>116</v>
      </c>
      <c r="N701" t="s">
        <v>125</v>
      </c>
    </row>
    <row r="702" spans="1:14">
      <c r="A702" s="20">
        <v>45581</v>
      </c>
      <c r="B702" t="s">
        <v>103</v>
      </c>
      <c r="C702" t="s">
        <v>94</v>
      </c>
      <c r="D702" t="s">
        <v>110</v>
      </c>
      <c r="E702">
        <v>29</v>
      </c>
      <c r="F702">
        <v>102</v>
      </c>
      <c r="G702">
        <v>80</v>
      </c>
      <c r="H702">
        <v>45</v>
      </c>
      <c r="I702" s="11">
        <v>8160</v>
      </c>
      <c r="J702" s="11">
        <v>4590</v>
      </c>
      <c r="K702" s="11">
        <v>3570</v>
      </c>
      <c r="L702" t="s">
        <v>87</v>
      </c>
      <c r="M702" t="s">
        <v>118</v>
      </c>
      <c r="N702" t="s">
        <v>123</v>
      </c>
    </row>
    <row r="703" spans="1:14">
      <c r="A703" s="20">
        <v>45651</v>
      </c>
      <c r="B703" t="s">
        <v>106</v>
      </c>
      <c r="C703" t="s">
        <v>96</v>
      </c>
      <c r="D703" t="s">
        <v>111</v>
      </c>
      <c r="E703">
        <v>18</v>
      </c>
      <c r="F703">
        <v>36</v>
      </c>
      <c r="G703">
        <v>90</v>
      </c>
      <c r="H703">
        <v>50</v>
      </c>
      <c r="I703" s="11">
        <v>3240</v>
      </c>
      <c r="J703" s="11">
        <v>1800</v>
      </c>
      <c r="K703" s="11">
        <v>1440</v>
      </c>
      <c r="L703" t="s">
        <v>89</v>
      </c>
      <c r="M703" t="s">
        <v>118</v>
      </c>
      <c r="N703" t="s">
        <v>122</v>
      </c>
    </row>
    <row r="704" spans="1:14">
      <c r="A704" s="20">
        <v>45562</v>
      </c>
      <c r="B704" t="s">
        <v>106</v>
      </c>
      <c r="C704" t="s">
        <v>93</v>
      </c>
      <c r="D704" t="s">
        <v>110</v>
      </c>
      <c r="E704">
        <v>27</v>
      </c>
      <c r="F704">
        <v>76</v>
      </c>
      <c r="G704">
        <v>100</v>
      </c>
      <c r="H704">
        <v>55</v>
      </c>
      <c r="I704" s="11">
        <v>7600</v>
      </c>
      <c r="J704" s="11">
        <v>4180</v>
      </c>
      <c r="K704" s="11">
        <v>3420</v>
      </c>
      <c r="L704" t="s">
        <v>86</v>
      </c>
      <c r="M704" t="s">
        <v>117</v>
      </c>
      <c r="N704" t="s">
        <v>123</v>
      </c>
    </row>
    <row r="705" spans="1:14">
      <c r="A705" s="20">
        <v>45642</v>
      </c>
      <c r="B705" t="s">
        <v>105</v>
      </c>
      <c r="C705" t="s">
        <v>93</v>
      </c>
      <c r="D705" t="s">
        <v>110</v>
      </c>
      <c r="E705">
        <v>24</v>
      </c>
      <c r="F705">
        <v>57</v>
      </c>
      <c r="G705">
        <v>100</v>
      </c>
      <c r="H705">
        <v>55</v>
      </c>
      <c r="I705" s="11">
        <v>5700</v>
      </c>
      <c r="J705" s="11">
        <v>3135</v>
      </c>
      <c r="K705" s="11">
        <v>2565</v>
      </c>
      <c r="L705" t="s">
        <v>89</v>
      </c>
      <c r="M705" t="s">
        <v>118</v>
      </c>
      <c r="N705" t="s">
        <v>122</v>
      </c>
    </row>
    <row r="706" spans="1:14">
      <c r="A706" s="20">
        <v>45420</v>
      </c>
      <c r="B706" t="s">
        <v>105</v>
      </c>
      <c r="C706" t="s">
        <v>93</v>
      </c>
      <c r="D706" t="s">
        <v>112</v>
      </c>
      <c r="E706">
        <v>40</v>
      </c>
      <c r="F706">
        <v>198</v>
      </c>
      <c r="G706">
        <v>100</v>
      </c>
      <c r="H706">
        <v>55</v>
      </c>
      <c r="I706" s="11">
        <v>19800</v>
      </c>
      <c r="J706" s="11">
        <v>10890</v>
      </c>
      <c r="K706" s="11">
        <v>8910</v>
      </c>
      <c r="L706" t="s">
        <v>82</v>
      </c>
      <c r="M706" t="s">
        <v>116</v>
      </c>
      <c r="N706" t="s">
        <v>125</v>
      </c>
    </row>
    <row r="707" spans="1:14">
      <c r="A707" s="20">
        <v>45631</v>
      </c>
      <c r="B707" t="s">
        <v>103</v>
      </c>
      <c r="C707" t="s">
        <v>98</v>
      </c>
      <c r="D707" t="s">
        <v>111</v>
      </c>
      <c r="E707">
        <v>21</v>
      </c>
      <c r="F707">
        <v>42</v>
      </c>
      <c r="G707">
        <v>100</v>
      </c>
      <c r="H707">
        <v>55</v>
      </c>
      <c r="I707" s="11">
        <v>4200</v>
      </c>
      <c r="J707" s="11">
        <v>2310</v>
      </c>
      <c r="K707" s="11">
        <v>1890</v>
      </c>
      <c r="L707" t="s">
        <v>89</v>
      </c>
      <c r="M707" t="s">
        <v>118</v>
      </c>
      <c r="N707" t="s">
        <v>122</v>
      </c>
    </row>
    <row r="708" spans="1:14">
      <c r="A708" s="20">
        <v>45585</v>
      </c>
      <c r="B708" t="s">
        <v>106</v>
      </c>
      <c r="C708" t="s">
        <v>95</v>
      </c>
      <c r="D708" t="s">
        <v>110</v>
      </c>
      <c r="E708">
        <v>34</v>
      </c>
      <c r="F708">
        <v>108</v>
      </c>
      <c r="G708">
        <v>110</v>
      </c>
      <c r="H708">
        <v>60</v>
      </c>
      <c r="I708" s="11">
        <v>11880</v>
      </c>
      <c r="J708" s="11">
        <v>6480</v>
      </c>
      <c r="K708" s="11">
        <v>5400</v>
      </c>
      <c r="L708" t="s">
        <v>87</v>
      </c>
      <c r="M708" t="s">
        <v>118</v>
      </c>
      <c r="N708" t="s">
        <v>124</v>
      </c>
    </row>
    <row r="709" spans="1:14">
      <c r="A709" s="20">
        <v>45568</v>
      </c>
      <c r="B709" t="s">
        <v>104</v>
      </c>
      <c r="C709" t="s">
        <v>96</v>
      </c>
      <c r="D709" t="s">
        <v>110</v>
      </c>
      <c r="E709">
        <v>32</v>
      </c>
      <c r="F709">
        <v>76</v>
      </c>
      <c r="G709">
        <v>90</v>
      </c>
      <c r="H709">
        <v>50</v>
      </c>
      <c r="I709" s="11">
        <v>6840</v>
      </c>
      <c r="J709" s="11">
        <v>3800</v>
      </c>
      <c r="K709" s="11">
        <v>3040</v>
      </c>
      <c r="L709" t="s">
        <v>87</v>
      </c>
      <c r="M709" t="s">
        <v>118</v>
      </c>
      <c r="N709" t="s">
        <v>124</v>
      </c>
    </row>
    <row r="710" spans="1:14">
      <c r="A710" s="20">
        <v>45382</v>
      </c>
      <c r="B710" t="s">
        <v>106</v>
      </c>
      <c r="C710" t="s">
        <v>97</v>
      </c>
      <c r="D710" t="s">
        <v>111</v>
      </c>
      <c r="E710">
        <v>33</v>
      </c>
      <c r="F710">
        <v>89</v>
      </c>
      <c r="G710">
        <v>130</v>
      </c>
      <c r="H710">
        <v>70</v>
      </c>
      <c r="I710" s="11">
        <v>11570</v>
      </c>
      <c r="J710" s="11">
        <v>6230</v>
      </c>
      <c r="K710" s="11">
        <v>5340</v>
      </c>
      <c r="L710" t="s">
        <v>80</v>
      </c>
      <c r="M710" t="s">
        <v>115</v>
      </c>
      <c r="N710" t="s">
        <v>124</v>
      </c>
    </row>
    <row r="711" spans="1:14">
      <c r="A711" s="20">
        <v>45429</v>
      </c>
      <c r="B711" t="s">
        <v>103</v>
      </c>
      <c r="C711" t="s">
        <v>93</v>
      </c>
      <c r="D711" t="s">
        <v>111</v>
      </c>
      <c r="E711">
        <v>36</v>
      </c>
      <c r="F711">
        <v>110</v>
      </c>
      <c r="G711">
        <v>100</v>
      </c>
      <c r="H711">
        <v>55</v>
      </c>
      <c r="I711" s="11">
        <v>11000</v>
      </c>
      <c r="J711" s="11">
        <v>6050</v>
      </c>
      <c r="K711" s="11">
        <v>4950</v>
      </c>
      <c r="L711" t="s">
        <v>82</v>
      </c>
      <c r="M711" t="s">
        <v>116</v>
      </c>
      <c r="N711" t="s">
        <v>125</v>
      </c>
    </row>
    <row r="712" spans="1:14">
      <c r="A712" s="20">
        <v>45528</v>
      </c>
      <c r="B712" t="s">
        <v>104</v>
      </c>
      <c r="C712" t="s">
        <v>94</v>
      </c>
      <c r="D712" t="s">
        <v>110</v>
      </c>
      <c r="E712">
        <v>34</v>
      </c>
      <c r="F712">
        <v>98</v>
      </c>
      <c r="G712">
        <v>80</v>
      </c>
      <c r="H712">
        <v>45</v>
      </c>
      <c r="I712" s="11">
        <v>7840</v>
      </c>
      <c r="J712" s="11">
        <v>4410</v>
      </c>
      <c r="K712" s="11">
        <v>3430</v>
      </c>
      <c r="L712" t="s">
        <v>85</v>
      </c>
      <c r="M712" t="s">
        <v>117</v>
      </c>
      <c r="N712" t="s">
        <v>124</v>
      </c>
    </row>
    <row r="713" spans="1:14">
      <c r="A713" s="20">
        <v>45350</v>
      </c>
      <c r="B713" t="s">
        <v>105</v>
      </c>
      <c r="C713" t="s">
        <v>96</v>
      </c>
      <c r="D713" t="s">
        <v>110</v>
      </c>
      <c r="E713">
        <v>32</v>
      </c>
      <c r="F713">
        <v>59</v>
      </c>
      <c r="G713">
        <v>90</v>
      </c>
      <c r="H713">
        <v>50</v>
      </c>
      <c r="I713" s="11">
        <v>5310</v>
      </c>
      <c r="J713" s="11">
        <v>2950</v>
      </c>
      <c r="K713" s="11">
        <v>2360</v>
      </c>
      <c r="L713" t="s">
        <v>79</v>
      </c>
      <c r="M713" t="s">
        <v>115</v>
      </c>
      <c r="N713" t="s">
        <v>124</v>
      </c>
    </row>
    <row r="714" spans="1:14">
      <c r="A714" s="20">
        <v>45381</v>
      </c>
      <c r="B714" t="s">
        <v>105</v>
      </c>
      <c r="C714" t="s">
        <v>95</v>
      </c>
      <c r="D714" t="s">
        <v>111</v>
      </c>
      <c r="E714">
        <v>37</v>
      </c>
      <c r="F714">
        <v>174</v>
      </c>
      <c r="G714">
        <v>110</v>
      </c>
      <c r="H714">
        <v>60</v>
      </c>
      <c r="I714" s="11">
        <v>19140</v>
      </c>
      <c r="J714" s="11">
        <v>10440</v>
      </c>
      <c r="K714" s="11">
        <v>8700</v>
      </c>
      <c r="L714" t="s">
        <v>80</v>
      </c>
      <c r="M714" t="s">
        <v>115</v>
      </c>
      <c r="N714" t="s">
        <v>125</v>
      </c>
    </row>
    <row r="715" spans="1:14">
      <c r="A715" s="20">
        <v>45511</v>
      </c>
      <c r="B715" t="s">
        <v>103</v>
      </c>
      <c r="C715" t="s">
        <v>97</v>
      </c>
      <c r="D715" t="s">
        <v>112</v>
      </c>
      <c r="E715">
        <v>27</v>
      </c>
      <c r="F715">
        <v>85</v>
      </c>
      <c r="G715">
        <v>130</v>
      </c>
      <c r="H715">
        <v>70</v>
      </c>
      <c r="I715" s="11">
        <v>11050</v>
      </c>
      <c r="J715" s="11">
        <v>5950</v>
      </c>
      <c r="K715" s="11">
        <v>5100</v>
      </c>
      <c r="L715" t="s">
        <v>85</v>
      </c>
      <c r="M715" t="s">
        <v>117</v>
      </c>
      <c r="N715" t="s">
        <v>123</v>
      </c>
    </row>
    <row r="716" spans="1:14">
      <c r="A716" s="20">
        <v>45538</v>
      </c>
      <c r="B716" t="s">
        <v>103</v>
      </c>
      <c r="C716" t="s">
        <v>94</v>
      </c>
      <c r="D716" t="s">
        <v>111</v>
      </c>
      <c r="E716">
        <v>33</v>
      </c>
      <c r="F716">
        <v>51</v>
      </c>
      <c r="G716">
        <v>80</v>
      </c>
      <c r="H716">
        <v>45</v>
      </c>
      <c r="I716" s="11">
        <v>4080</v>
      </c>
      <c r="J716" s="11">
        <v>2295</v>
      </c>
      <c r="K716" s="11">
        <v>1785</v>
      </c>
      <c r="L716" t="s">
        <v>86</v>
      </c>
      <c r="M716" t="s">
        <v>117</v>
      </c>
      <c r="N716" t="s">
        <v>124</v>
      </c>
    </row>
    <row r="717" spans="1:14">
      <c r="A717" s="20">
        <v>45392</v>
      </c>
      <c r="B717" t="s">
        <v>103</v>
      </c>
      <c r="C717" t="s">
        <v>96</v>
      </c>
      <c r="D717" t="s">
        <v>111</v>
      </c>
      <c r="E717">
        <v>32</v>
      </c>
      <c r="F717">
        <v>198</v>
      </c>
      <c r="G717">
        <v>90</v>
      </c>
      <c r="H717">
        <v>50</v>
      </c>
      <c r="I717" s="11">
        <v>17820</v>
      </c>
      <c r="J717" s="11">
        <v>9900</v>
      </c>
      <c r="K717" s="11">
        <v>7920</v>
      </c>
      <c r="L717" t="s">
        <v>81</v>
      </c>
      <c r="M717" t="s">
        <v>116</v>
      </c>
      <c r="N717" t="s">
        <v>124</v>
      </c>
    </row>
    <row r="718" spans="1:14">
      <c r="A718" s="20">
        <v>45313</v>
      </c>
      <c r="B718" t="s">
        <v>104</v>
      </c>
      <c r="C718" t="s">
        <v>93</v>
      </c>
      <c r="D718" t="s">
        <v>110</v>
      </c>
      <c r="E718">
        <v>18</v>
      </c>
      <c r="F718">
        <v>56</v>
      </c>
      <c r="G718">
        <v>100</v>
      </c>
      <c r="H718">
        <v>55</v>
      </c>
      <c r="I718" s="11">
        <v>5600</v>
      </c>
      <c r="J718" s="11">
        <v>3080</v>
      </c>
      <c r="K718" s="11">
        <v>2520</v>
      </c>
      <c r="L718" t="s">
        <v>78</v>
      </c>
      <c r="M718" t="s">
        <v>115</v>
      </c>
      <c r="N718" t="s">
        <v>122</v>
      </c>
    </row>
    <row r="719" spans="1:14">
      <c r="A719" s="20">
        <v>45308</v>
      </c>
      <c r="B719" t="s">
        <v>103</v>
      </c>
      <c r="C719" t="s">
        <v>96</v>
      </c>
      <c r="D719" t="s">
        <v>111</v>
      </c>
      <c r="E719">
        <v>23</v>
      </c>
      <c r="F719">
        <v>57</v>
      </c>
      <c r="G719">
        <v>90</v>
      </c>
      <c r="H719">
        <v>50</v>
      </c>
      <c r="I719" s="11">
        <v>5130</v>
      </c>
      <c r="J719" s="11">
        <v>2850</v>
      </c>
      <c r="K719" s="11">
        <v>2280</v>
      </c>
      <c r="L719" t="s">
        <v>78</v>
      </c>
      <c r="M719" t="s">
        <v>115</v>
      </c>
      <c r="N719" t="s">
        <v>122</v>
      </c>
    </row>
    <row r="720" spans="1:14">
      <c r="A720" s="20">
        <v>45454</v>
      </c>
      <c r="B720" t="s">
        <v>104</v>
      </c>
      <c r="C720" t="s">
        <v>94</v>
      </c>
      <c r="D720" t="s">
        <v>111</v>
      </c>
      <c r="E720">
        <v>32</v>
      </c>
      <c r="F720">
        <v>103</v>
      </c>
      <c r="G720">
        <v>80</v>
      </c>
      <c r="H720">
        <v>45</v>
      </c>
      <c r="I720" s="11">
        <v>8240</v>
      </c>
      <c r="J720" s="11">
        <v>4635</v>
      </c>
      <c r="K720" s="11">
        <v>3605</v>
      </c>
      <c r="L720" t="s">
        <v>83</v>
      </c>
      <c r="M720" t="s">
        <v>116</v>
      </c>
      <c r="N720" t="s">
        <v>124</v>
      </c>
    </row>
    <row r="721" spans="1:14">
      <c r="A721" s="20">
        <v>45536</v>
      </c>
      <c r="B721" t="s">
        <v>103</v>
      </c>
      <c r="C721" t="s">
        <v>94</v>
      </c>
      <c r="D721" t="s">
        <v>111</v>
      </c>
      <c r="E721">
        <v>26</v>
      </c>
      <c r="F721">
        <v>87</v>
      </c>
      <c r="G721">
        <v>80</v>
      </c>
      <c r="H721">
        <v>45</v>
      </c>
      <c r="I721" s="11">
        <v>6960</v>
      </c>
      <c r="J721" s="11">
        <v>3915</v>
      </c>
      <c r="K721" s="11">
        <v>3045</v>
      </c>
      <c r="L721" t="s">
        <v>86</v>
      </c>
      <c r="M721" t="s">
        <v>117</v>
      </c>
      <c r="N721" t="s">
        <v>123</v>
      </c>
    </row>
    <row r="722" spans="1:14">
      <c r="A722" s="20">
        <v>45508</v>
      </c>
      <c r="B722" t="s">
        <v>106</v>
      </c>
      <c r="C722" t="s">
        <v>96</v>
      </c>
      <c r="D722" t="s">
        <v>110</v>
      </c>
      <c r="E722">
        <v>31</v>
      </c>
      <c r="F722">
        <v>35</v>
      </c>
      <c r="G722">
        <v>90</v>
      </c>
      <c r="H722">
        <v>50</v>
      </c>
      <c r="I722" s="11">
        <v>3150</v>
      </c>
      <c r="J722" s="11">
        <v>1750</v>
      </c>
      <c r="K722" s="11">
        <v>1400</v>
      </c>
      <c r="L722" t="s">
        <v>85</v>
      </c>
      <c r="M722" t="s">
        <v>117</v>
      </c>
      <c r="N722" t="s">
        <v>124</v>
      </c>
    </row>
    <row r="723" spans="1:14">
      <c r="A723" s="20">
        <v>45350</v>
      </c>
      <c r="B723" t="s">
        <v>106</v>
      </c>
      <c r="C723" t="s">
        <v>95</v>
      </c>
      <c r="D723" t="s">
        <v>111</v>
      </c>
      <c r="E723">
        <v>32</v>
      </c>
      <c r="F723">
        <v>43</v>
      </c>
      <c r="G723">
        <v>110</v>
      </c>
      <c r="H723">
        <v>60</v>
      </c>
      <c r="I723" s="11">
        <v>4730</v>
      </c>
      <c r="J723" s="11">
        <v>2580</v>
      </c>
      <c r="K723" s="11">
        <v>2150</v>
      </c>
      <c r="L723" t="s">
        <v>79</v>
      </c>
      <c r="M723" t="s">
        <v>115</v>
      </c>
      <c r="N723" t="s">
        <v>124</v>
      </c>
    </row>
    <row r="724" spans="1:14">
      <c r="A724" s="20">
        <v>45335</v>
      </c>
      <c r="B724" t="s">
        <v>105</v>
      </c>
      <c r="C724" t="s">
        <v>94</v>
      </c>
      <c r="D724" t="s">
        <v>112</v>
      </c>
      <c r="E724">
        <v>26</v>
      </c>
      <c r="F724">
        <v>64</v>
      </c>
      <c r="G724">
        <v>80</v>
      </c>
      <c r="H724">
        <v>45</v>
      </c>
      <c r="I724" s="11">
        <v>5120</v>
      </c>
      <c r="J724" s="11">
        <v>2880</v>
      </c>
      <c r="K724" s="11">
        <v>2240</v>
      </c>
      <c r="L724" t="s">
        <v>79</v>
      </c>
      <c r="M724" t="s">
        <v>115</v>
      </c>
      <c r="N724" t="s">
        <v>123</v>
      </c>
    </row>
    <row r="725" spans="1:14">
      <c r="A725" s="20">
        <v>45391</v>
      </c>
      <c r="B725" t="s">
        <v>106</v>
      </c>
      <c r="C725" t="s">
        <v>95</v>
      </c>
      <c r="D725" t="s">
        <v>110</v>
      </c>
      <c r="E725">
        <v>32</v>
      </c>
      <c r="F725">
        <v>110</v>
      </c>
      <c r="G725">
        <v>110</v>
      </c>
      <c r="H725">
        <v>60</v>
      </c>
      <c r="I725" s="11">
        <v>12100</v>
      </c>
      <c r="J725" s="11">
        <v>6600</v>
      </c>
      <c r="K725" s="11">
        <v>5500</v>
      </c>
      <c r="L725" t="s">
        <v>81</v>
      </c>
      <c r="M725" t="s">
        <v>116</v>
      </c>
      <c r="N725" t="s">
        <v>124</v>
      </c>
    </row>
    <row r="726" spans="1:14">
      <c r="A726" s="20">
        <v>45618</v>
      </c>
      <c r="B726" t="s">
        <v>103</v>
      </c>
      <c r="C726" t="s">
        <v>93</v>
      </c>
      <c r="D726" t="s">
        <v>110</v>
      </c>
      <c r="E726">
        <v>23</v>
      </c>
      <c r="F726">
        <v>22</v>
      </c>
      <c r="G726">
        <v>100</v>
      </c>
      <c r="H726">
        <v>55</v>
      </c>
      <c r="I726" s="11">
        <v>2200</v>
      </c>
      <c r="J726" s="11">
        <v>1210</v>
      </c>
      <c r="K726" s="11">
        <v>990</v>
      </c>
      <c r="L726" t="s">
        <v>88</v>
      </c>
      <c r="M726" t="s">
        <v>118</v>
      </c>
      <c r="N726" t="s">
        <v>122</v>
      </c>
    </row>
    <row r="727" spans="1:14">
      <c r="A727" s="20">
        <v>45605</v>
      </c>
      <c r="B727" t="s">
        <v>103</v>
      </c>
      <c r="C727" t="s">
        <v>96</v>
      </c>
      <c r="D727" t="s">
        <v>110</v>
      </c>
      <c r="E727">
        <v>25</v>
      </c>
      <c r="F727">
        <v>13</v>
      </c>
      <c r="G727">
        <v>90</v>
      </c>
      <c r="H727">
        <v>50</v>
      </c>
      <c r="I727" s="11">
        <v>1170</v>
      </c>
      <c r="J727" s="11">
        <v>650</v>
      </c>
      <c r="K727" s="11">
        <v>520</v>
      </c>
      <c r="L727" t="s">
        <v>88</v>
      </c>
      <c r="M727" t="s">
        <v>118</v>
      </c>
      <c r="N727" t="s">
        <v>123</v>
      </c>
    </row>
    <row r="728" spans="1:14">
      <c r="A728" s="20">
        <v>45478</v>
      </c>
      <c r="B728" t="s">
        <v>106</v>
      </c>
      <c r="C728" t="s">
        <v>94</v>
      </c>
      <c r="D728" t="s">
        <v>110</v>
      </c>
      <c r="E728">
        <v>27</v>
      </c>
      <c r="F728">
        <v>57</v>
      </c>
      <c r="G728">
        <v>80</v>
      </c>
      <c r="H728">
        <v>45</v>
      </c>
      <c r="I728" s="11">
        <v>4560</v>
      </c>
      <c r="J728" s="11">
        <v>2565</v>
      </c>
      <c r="K728" s="11">
        <v>1995</v>
      </c>
      <c r="L728" t="s">
        <v>84</v>
      </c>
      <c r="M728" t="s">
        <v>117</v>
      </c>
      <c r="N728" t="s">
        <v>123</v>
      </c>
    </row>
    <row r="729" spans="1:14">
      <c r="A729" s="20">
        <v>45578</v>
      </c>
      <c r="B729" t="s">
        <v>103</v>
      </c>
      <c r="C729" t="s">
        <v>94</v>
      </c>
      <c r="D729" t="s">
        <v>112</v>
      </c>
      <c r="E729">
        <v>34</v>
      </c>
      <c r="F729">
        <v>60</v>
      </c>
      <c r="G729">
        <v>80</v>
      </c>
      <c r="H729">
        <v>45</v>
      </c>
      <c r="I729" s="11">
        <v>4800</v>
      </c>
      <c r="J729" s="11">
        <v>2700</v>
      </c>
      <c r="K729" s="11">
        <v>2100</v>
      </c>
      <c r="L729" t="s">
        <v>87</v>
      </c>
      <c r="M729" t="s">
        <v>118</v>
      </c>
      <c r="N729" t="s">
        <v>124</v>
      </c>
    </row>
    <row r="730" spans="1:14">
      <c r="A730" s="20">
        <v>45336</v>
      </c>
      <c r="B730" t="s">
        <v>103</v>
      </c>
      <c r="C730" t="s">
        <v>98</v>
      </c>
      <c r="D730" t="s">
        <v>110</v>
      </c>
      <c r="E730">
        <v>28</v>
      </c>
      <c r="F730">
        <v>86</v>
      </c>
      <c r="G730">
        <v>100</v>
      </c>
      <c r="H730">
        <v>55</v>
      </c>
      <c r="I730" s="11">
        <v>8600</v>
      </c>
      <c r="J730" s="11">
        <v>4730</v>
      </c>
      <c r="K730" s="11">
        <v>3870</v>
      </c>
      <c r="L730" t="s">
        <v>79</v>
      </c>
      <c r="M730" t="s">
        <v>115</v>
      </c>
      <c r="N730" t="s">
        <v>123</v>
      </c>
    </row>
    <row r="731" spans="1:14">
      <c r="A731" s="20">
        <v>45577</v>
      </c>
      <c r="B731" t="s">
        <v>104</v>
      </c>
      <c r="C731" t="s">
        <v>95</v>
      </c>
      <c r="D731" t="s">
        <v>111</v>
      </c>
      <c r="E731">
        <v>27</v>
      </c>
      <c r="F731">
        <v>68</v>
      </c>
      <c r="G731">
        <v>110</v>
      </c>
      <c r="H731">
        <v>60</v>
      </c>
      <c r="I731" s="11">
        <v>7480</v>
      </c>
      <c r="J731" s="11">
        <v>4080</v>
      </c>
      <c r="K731" s="11">
        <v>3400</v>
      </c>
      <c r="L731" t="s">
        <v>87</v>
      </c>
      <c r="M731" t="s">
        <v>118</v>
      </c>
      <c r="N731" t="s">
        <v>123</v>
      </c>
    </row>
    <row r="732" spans="1:14">
      <c r="A732" s="20">
        <v>45462</v>
      </c>
      <c r="B732" t="s">
        <v>105</v>
      </c>
      <c r="C732" t="s">
        <v>98</v>
      </c>
      <c r="D732" t="s">
        <v>110</v>
      </c>
      <c r="E732">
        <v>35</v>
      </c>
      <c r="F732">
        <v>171</v>
      </c>
      <c r="G732">
        <v>100</v>
      </c>
      <c r="H732">
        <v>55</v>
      </c>
      <c r="I732" s="11">
        <v>17100</v>
      </c>
      <c r="J732" s="11">
        <v>9405</v>
      </c>
      <c r="K732" s="11">
        <v>7695</v>
      </c>
      <c r="L732" t="s">
        <v>83</v>
      </c>
      <c r="M732" t="s">
        <v>116</v>
      </c>
      <c r="N732" t="s">
        <v>124</v>
      </c>
    </row>
    <row r="733" spans="1:14">
      <c r="A733" s="20">
        <v>45384</v>
      </c>
      <c r="B733" t="s">
        <v>103</v>
      </c>
      <c r="C733" t="s">
        <v>97</v>
      </c>
      <c r="D733" t="s">
        <v>111</v>
      </c>
      <c r="E733">
        <v>40</v>
      </c>
      <c r="F733">
        <v>171</v>
      </c>
      <c r="G733">
        <v>130</v>
      </c>
      <c r="H733">
        <v>70</v>
      </c>
      <c r="I733" s="11">
        <v>22230</v>
      </c>
      <c r="J733" s="11">
        <v>11970</v>
      </c>
      <c r="K733" s="11">
        <v>10260</v>
      </c>
      <c r="L733" t="s">
        <v>81</v>
      </c>
      <c r="M733" t="s">
        <v>116</v>
      </c>
      <c r="N733" t="s">
        <v>125</v>
      </c>
    </row>
    <row r="734" spans="1:14">
      <c r="A734" s="20">
        <v>45520</v>
      </c>
      <c r="B734" t="s">
        <v>103</v>
      </c>
      <c r="C734" t="s">
        <v>97</v>
      </c>
      <c r="D734" t="s">
        <v>112</v>
      </c>
      <c r="E734">
        <v>28</v>
      </c>
      <c r="F734">
        <v>92</v>
      </c>
      <c r="G734">
        <v>130</v>
      </c>
      <c r="H734">
        <v>70</v>
      </c>
      <c r="I734" s="11">
        <v>11960</v>
      </c>
      <c r="J734" s="11">
        <v>6440</v>
      </c>
      <c r="K734" s="11">
        <v>5520</v>
      </c>
      <c r="L734" t="s">
        <v>85</v>
      </c>
      <c r="M734" t="s">
        <v>117</v>
      </c>
      <c r="N734" t="s">
        <v>123</v>
      </c>
    </row>
    <row r="735" spans="1:14">
      <c r="A735" s="20">
        <v>45397</v>
      </c>
      <c r="B735" t="s">
        <v>106</v>
      </c>
      <c r="C735" t="s">
        <v>94</v>
      </c>
      <c r="D735" t="s">
        <v>112</v>
      </c>
      <c r="E735">
        <v>40</v>
      </c>
      <c r="F735">
        <v>130</v>
      </c>
      <c r="G735">
        <v>80</v>
      </c>
      <c r="H735">
        <v>45</v>
      </c>
      <c r="I735" s="11">
        <v>10400</v>
      </c>
      <c r="J735" s="11">
        <v>5850</v>
      </c>
      <c r="K735" s="11">
        <v>4550</v>
      </c>
      <c r="L735" t="s">
        <v>81</v>
      </c>
      <c r="M735" t="s">
        <v>116</v>
      </c>
      <c r="N735" t="s">
        <v>125</v>
      </c>
    </row>
    <row r="736" spans="1:14">
      <c r="A736" s="20">
        <v>45505</v>
      </c>
      <c r="B736" t="s">
        <v>104</v>
      </c>
      <c r="C736" t="s">
        <v>98</v>
      </c>
      <c r="D736" t="s">
        <v>110</v>
      </c>
      <c r="E736">
        <v>32</v>
      </c>
      <c r="F736">
        <v>51</v>
      </c>
      <c r="G736">
        <v>100</v>
      </c>
      <c r="H736">
        <v>55</v>
      </c>
      <c r="I736" s="11">
        <v>5100</v>
      </c>
      <c r="J736" s="11">
        <v>2805</v>
      </c>
      <c r="K736" s="11">
        <v>2295</v>
      </c>
      <c r="L736" t="s">
        <v>85</v>
      </c>
      <c r="M736" t="s">
        <v>117</v>
      </c>
      <c r="N736" t="s">
        <v>124</v>
      </c>
    </row>
    <row r="737" spans="1:14">
      <c r="A737" s="20">
        <v>45558</v>
      </c>
      <c r="B737" t="s">
        <v>105</v>
      </c>
      <c r="C737" t="s">
        <v>93</v>
      </c>
      <c r="D737" t="s">
        <v>112</v>
      </c>
      <c r="E737">
        <v>32</v>
      </c>
      <c r="F737">
        <v>105</v>
      </c>
      <c r="G737">
        <v>100</v>
      </c>
      <c r="H737">
        <v>55</v>
      </c>
      <c r="I737" s="11">
        <v>10500</v>
      </c>
      <c r="J737" s="11">
        <v>5775</v>
      </c>
      <c r="K737" s="11">
        <v>4725</v>
      </c>
      <c r="L737" t="s">
        <v>86</v>
      </c>
      <c r="M737" t="s">
        <v>117</v>
      </c>
      <c r="N737" t="s">
        <v>124</v>
      </c>
    </row>
    <row r="738" spans="1:14">
      <c r="A738" s="20">
        <v>45561</v>
      </c>
      <c r="B738" t="s">
        <v>103</v>
      </c>
      <c r="C738" t="s">
        <v>95</v>
      </c>
      <c r="D738" t="s">
        <v>112</v>
      </c>
      <c r="E738">
        <v>28</v>
      </c>
      <c r="F738">
        <v>52</v>
      </c>
      <c r="G738">
        <v>110</v>
      </c>
      <c r="H738">
        <v>60</v>
      </c>
      <c r="I738" s="11">
        <v>5720</v>
      </c>
      <c r="J738" s="11">
        <v>3120</v>
      </c>
      <c r="K738" s="11">
        <v>2600</v>
      </c>
      <c r="L738" t="s">
        <v>86</v>
      </c>
      <c r="M738" t="s">
        <v>117</v>
      </c>
      <c r="N738" t="s">
        <v>123</v>
      </c>
    </row>
    <row r="739" spans="1:14">
      <c r="A739" s="20">
        <v>45416</v>
      </c>
      <c r="B739" t="s">
        <v>103</v>
      </c>
      <c r="C739" t="s">
        <v>94</v>
      </c>
      <c r="D739" t="s">
        <v>111</v>
      </c>
      <c r="E739">
        <v>40</v>
      </c>
      <c r="F739">
        <v>79</v>
      </c>
      <c r="G739">
        <v>80</v>
      </c>
      <c r="H739">
        <v>45</v>
      </c>
      <c r="I739" s="11">
        <v>6320</v>
      </c>
      <c r="J739" s="11">
        <v>3555</v>
      </c>
      <c r="K739" s="11">
        <v>2765</v>
      </c>
      <c r="L739" t="s">
        <v>82</v>
      </c>
      <c r="M739" t="s">
        <v>116</v>
      </c>
      <c r="N739" t="s">
        <v>125</v>
      </c>
    </row>
    <row r="740" spans="1:14">
      <c r="A740" s="20">
        <v>45528</v>
      </c>
      <c r="B740" t="s">
        <v>104</v>
      </c>
      <c r="C740" t="s">
        <v>96</v>
      </c>
      <c r="D740" t="s">
        <v>111</v>
      </c>
      <c r="E740">
        <v>32</v>
      </c>
      <c r="F740">
        <v>87</v>
      </c>
      <c r="G740">
        <v>90</v>
      </c>
      <c r="H740">
        <v>50</v>
      </c>
      <c r="I740" s="11">
        <v>7830</v>
      </c>
      <c r="J740" s="11">
        <v>4350</v>
      </c>
      <c r="K740" s="11">
        <v>3480</v>
      </c>
      <c r="L740" t="s">
        <v>85</v>
      </c>
      <c r="M740" t="s">
        <v>117</v>
      </c>
      <c r="N740" t="s">
        <v>124</v>
      </c>
    </row>
    <row r="741" spans="1:14">
      <c r="A741" s="20">
        <v>45418</v>
      </c>
      <c r="B741" t="s">
        <v>105</v>
      </c>
      <c r="C741" t="s">
        <v>94</v>
      </c>
      <c r="D741" t="s">
        <v>111</v>
      </c>
      <c r="E741">
        <v>34</v>
      </c>
      <c r="F741">
        <v>59</v>
      </c>
      <c r="G741">
        <v>80</v>
      </c>
      <c r="H741">
        <v>45</v>
      </c>
      <c r="I741" s="11">
        <v>4720</v>
      </c>
      <c r="J741" s="11">
        <v>2655</v>
      </c>
      <c r="K741" s="11">
        <v>2065</v>
      </c>
      <c r="L741" t="s">
        <v>82</v>
      </c>
      <c r="M741" t="s">
        <v>116</v>
      </c>
      <c r="N741" t="s">
        <v>124</v>
      </c>
    </row>
    <row r="742" spans="1:14">
      <c r="A742" s="20">
        <v>45302</v>
      </c>
      <c r="B742" t="s">
        <v>106</v>
      </c>
      <c r="C742" t="s">
        <v>98</v>
      </c>
      <c r="D742" t="s">
        <v>110</v>
      </c>
      <c r="E742">
        <v>19</v>
      </c>
      <c r="F742">
        <v>26</v>
      </c>
      <c r="G742">
        <v>100</v>
      </c>
      <c r="H742">
        <v>55</v>
      </c>
      <c r="I742" s="11">
        <v>2600</v>
      </c>
      <c r="J742" s="11">
        <v>1430</v>
      </c>
      <c r="K742" s="11">
        <v>1170</v>
      </c>
      <c r="L742" t="s">
        <v>78</v>
      </c>
      <c r="M742" t="s">
        <v>115</v>
      </c>
      <c r="N742" t="s">
        <v>122</v>
      </c>
    </row>
    <row r="743" spans="1:14">
      <c r="A743" s="20">
        <v>45623</v>
      </c>
      <c r="B743" t="s">
        <v>106</v>
      </c>
      <c r="C743" t="s">
        <v>94</v>
      </c>
      <c r="D743" t="s">
        <v>110</v>
      </c>
      <c r="E743">
        <v>18</v>
      </c>
      <c r="F743">
        <v>25</v>
      </c>
      <c r="G743">
        <v>80</v>
      </c>
      <c r="H743">
        <v>45</v>
      </c>
      <c r="I743" s="11">
        <v>2000</v>
      </c>
      <c r="J743" s="11">
        <v>1125</v>
      </c>
      <c r="K743" s="11">
        <v>875</v>
      </c>
      <c r="L743" t="s">
        <v>88</v>
      </c>
      <c r="M743" t="s">
        <v>118</v>
      </c>
      <c r="N743" t="s">
        <v>122</v>
      </c>
    </row>
    <row r="744" spans="1:14">
      <c r="A744" s="20">
        <v>45534</v>
      </c>
      <c r="B744" t="s">
        <v>103</v>
      </c>
      <c r="C744" t="s">
        <v>93</v>
      </c>
      <c r="D744" t="s">
        <v>111</v>
      </c>
      <c r="E744">
        <v>34</v>
      </c>
      <c r="F744">
        <v>35</v>
      </c>
      <c r="G744">
        <v>100</v>
      </c>
      <c r="H744">
        <v>55</v>
      </c>
      <c r="I744" s="11">
        <v>3500</v>
      </c>
      <c r="J744" s="11">
        <v>1925</v>
      </c>
      <c r="K744" s="11">
        <v>1575</v>
      </c>
      <c r="L744" t="s">
        <v>85</v>
      </c>
      <c r="M744" t="s">
        <v>117</v>
      </c>
      <c r="N744" t="s">
        <v>124</v>
      </c>
    </row>
    <row r="745" spans="1:14">
      <c r="A745" s="20">
        <v>45655</v>
      </c>
      <c r="B745" t="s">
        <v>103</v>
      </c>
      <c r="C745" t="s">
        <v>93</v>
      </c>
      <c r="D745" t="s">
        <v>111</v>
      </c>
      <c r="E745">
        <v>21</v>
      </c>
      <c r="F745">
        <v>22</v>
      </c>
      <c r="G745">
        <v>100</v>
      </c>
      <c r="H745">
        <v>55</v>
      </c>
      <c r="I745" s="11">
        <v>2200</v>
      </c>
      <c r="J745" s="11">
        <v>1210</v>
      </c>
      <c r="K745" s="11">
        <v>990</v>
      </c>
      <c r="L745" t="s">
        <v>89</v>
      </c>
      <c r="M745" t="s">
        <v>118</v>
      </c>
      <c r="N745" t="s">
        <v>122</v>
      </c>
    </row>
    <row r="746" spans="1:14">
      <c r="A746" s="20">
        <v>45537</v>
      </c>
      <c r="B746" t="s">
        <v>103</v>
      </c>
      <c r="C746" t="s">
        <v>96</v>
      </c>
      <c r="D746" t="s">
        <v>111</v>
      </c>
      <c r="E746">
        <v>32</v>
      </c>
      <c r="F746">
        <v>101</v>
      </c>
      <c r="G746">
        <v>90</v>
      </c>
      <c r="H746">
        <v>50</v>
      </c>
      <c r="I746" s="11">
        <v>9090</v>
      </c>
      <c r="J746" s="11">
        <v>5050</v>
      </c>
      <c r="K746" s="11">
        <v>4040</v>
      </c>
      <c r="L746" t="s">
        <v>86</v>
      </c>
      <c r="M746" t="s">
        <v>117</v>
      </c>
      <c r="N746" t="s">
        <v>124</v>
      </c>
    </row>
    <row r="747" spans="1:14">
      <c r="A747" s="20">
        <v>45482</v>
      </c>
      <c r="B747" t="s">
        <v>104</v>
      </c>
      <c r="C747" t="s">
        <v>93</v>
      </c>
      <c r="D747" t="s">
        <v>110</v>
      </c>
      <c r="E747">
        <v>26</v>
      </c>
      <c r="F747">
        <v>41</v>
      </c>
      <c r="G747">
        <v>100</v>
      </c>
      <c r="H747">
        <v>55</v>
      </c>
      <c r="I747" s="11">
        <v>4100</v>
      </c>
      <c r="J747" s="11">
        <v>2255</v>
      </c>
      <c r="K747" s="11">
        <v>1845</v>
      </c>
      <c r="L747" t="s">
        <v>84</v>
      </c>
      <c r="M747" t="s">
        <v>117</v>
      </c>
      <c r="N747" t="s">
        <v>123</v>
      </c>
    </row>
    <row r="748" spans="1:14">
      <c r="A748" s="20">
        <v>45354</v>
      </c>
      <c r="B748" t="s">
        <v>103</v>
      </c>
      <c r="C748" t="s">
        <v>94</v>
      </c>
      <c r="D748" t="s">
        <v>111</v>
      </c>
      <c r="E748">
        <v>41</v>
      </c>
      <c r="F748">
        <v>118</v>
      </c>
      <c r="G748">
        <v>80</v>
      </c>
      <c r="H748">
        <v>45</v>
      </c>
      <c r="I748" s="11">
        <v>9440</v>
      </c>
      <c r="J748" s="11">
        <v>5310</v>
      </c>
      <c r="K748" s="11">
        <v>4130</v>
      </c>
      <c r="L748" t="s">
        <v>80</v>
      </c>
      <c r="M748" t="s">
        <v>115</v>
      </c>
      <c r="N748" t="s">
        <v>125</v>
      </c>
    </row>
    <row r="749" spans="1:14">
      <c r="A749" s="20">
        <v>45499</v>
      </c>
      <c r="B749" t="s">
        <v>103</v>
      </c>
      <c r="C749" t="s">
        <v>94</v>
      </c>
      <c r="D749" t="s">
        <v>111</v>
      </c>
      <c r="E749">
        <v>32</v>
      </c>
      <c r="F749">
        <v>59</v>
      </c>
      <c r="G749">
        <v>80</v>
      </c>
      <c r="H749">
        <v>45</v>
      </c>
      <c r="I749" s="11">
        <v>4720</v>
      </c>
      <c r="J749" s="11">
        <v>2655</v>
      </c>
      <c r="K749" s="11">
        <v>2065</v>
      </c>
      <c r="L749" t="s">
        <v>84</v>
      </c>
      <c r="M749" t="s">
        <v>117</v>
      </c>
      <c r="N749" t="s">
        <v>124</v>
      </c>
    </row>
    <row r="750" spans="1:14">
      <c r="A750" s="20">
        <v>45561</v>
      </c>
      <c r="B750" t="s">
        <v>103</v>
      </c>
      <c r="C750" t="s">
        <v>95</v>
      </c>
      <c r="D750" t="s">
        <v>110</v>
      </c>
      <c r="E750">
        <v>28</v>
      </c>
      <c r="F750">
        <v>66</v>
      </c>
      <c r="G750">
        <v>110</v>
      </c>
      <c r="H750">
        <v>60</v>
      </c>
      <c r="I750" s="11">
        <v>7260</v>
      </c>
      <c r="J750" s="11">
        <v>3960</v>
      </c>
      <c r="K750" s="11">
        <v>3300</v>
      </c>
      <c r="L750" t="s">
        <v>86</v>
      </c>
      <c r="M750" t="s">
        <v>117</v>
      </c>
      <c r="N750" t="s">
        <v>123</v>
      </c>
    </row>
    <row r="751" spans="1:14">
      <c r="A751" s="20">
        <v>45519</v>
      </c>
      <c r="B751" t="s">
        <v>104</v>
      </c>
      <c r="C751" t="s">
        <v>95</v>
      </c>
      <c r="D751" t="s">
        <v>110</v>
      </c>
      <c r="E751">
        <v>30</v>
      </c>
      <c r="F751">
        <v>50</v>
      </c>
      <c r="G751">
        <v>110</v>
      </c>
      <c r="H751">
        <v>60</v>
      </c>
      <c r="I751" s="11">
        <v>5500</v>
      </c>
      <c r="J751" s="11">
        <v>3000</v>
      </c>
      <c r="K751" s="11">
        <v>2500</v>
      </c>
      <c r="L751" t="s">
        <v>85</v>
      </c>
      <c r="M751" t="s">
        <v>117</v>
      </c>
      <c r="N751" t="s">
        <v>123</v>
      </c>
    </row>
    <row r="752" spans="1:14">
      <c r="A752" s="20">
        <v>45318</v>
      </c>
      <c r="B752" t="s">
        <v>104</v>
      </c>
      <c r="C752" t="s">
        <v>97</v>
      </c>
      <c r="D752" t="s">
        <v>111</v>
      </c>
      <c r="E752">
        <v>19</v>
      </c>
      <c r="F752">
        <v>45</v>
      </c>
      <c r="G752">
        <v>130</v>
      </c>
      <c r="H752">
        <v>70</v>
      </c>
      <c r="I752" s="11">
        <v>5850</v>
      </c>
      <c r="J752" s="11">
        <v>3150</v>
      </c>
      <c r="K752" s="11">
        <v>2700</v>
      </c>
      <c r="L752" t="s">
        <v>78</v>
      </c>
      <c r="M752" t="s">
        <v>115</v>
      </c>
      <c r="N752" t="s">
        <v>122</v>
      </c>
    </row>
    <row r="753" spans="1:14">
      <c r="A753" s="20">
        <v>45515</v>
      </c>
      <c r="B753" t="s">
        <v>103</v>
      </c>
      <c r="C753" t="s">
        <v>95</v>
      </c>
      <c r="D753" t="s">
        <v>110</v>
      </c>
      <c r="E753">
        <v>28</v>
      </c>
      <c r="F753">
        <v>74</v>
      </c>
      <c r="G753">
        <v>110</v>
      </c>
      <c r="H753">
        <v>60</v>
      </c>
      <c r="I753" s="11">
        <v>8140</v>
      </c>
      <c r="J753" s="11">
        <v>4440</v>
      </c>
      <c r="K753" s="11">
        <v>3700</v>
      </c>
      <c r="L753" t="s">
        <v>85</v>
      </c>
      <c r="M753" t="s">
        <v>117</v>
      </c>
      <c r="N753" t="s">
        <v>123</v>
      </c>
    </row>
    <row r="754" spans="1:14">
      <c r="A754" s="20">
        <v>45325</v>
      </c>
      <c r="B754" t="s">
        <v>105</v>
      </c>
      <c r="C754" t="s">
        <v>94</v>
      </c>
      <c r="D754" t="s">
        <v>110</v>
      </c>
      <c r="E754">
        <v>29</v>
      </c>
      <c r="F754">
        <v>51</v>
      </c>
      <c r="G754">
        <v>80</v>
      </c>
      <c r="H754">
        <v>45</v>
      </c>
      <c r="I754" s="11">
        <v>4080</v>
      </c>
      <c r="J754" s="11">
        <v>2295</v>
      </c>
      <c r="K754" s="11">
        <v>1785</v>
      </c>
      <c r="L754" t="s">
        <v>79</v>
      </c>
      <c r="M754" t="s">
        <v>115</v>
      </c>
      <c r="N754" t="s">
        <v>123</v>
      </c>
    </row>
    <row r="755" spans="1:14">
      <c r="A755" s="20">
        <v>45620</v>
      </c>
      <c r="B755" t="s">
        <v>104</v>
      </c>
      <c r="C755" t="s">
        <v>94</v>
      </c>
      <c r="D755" t="s">
        <v>110</v>
      </c>
      <c r="E755">
        <v>26</v>
      </c>
      <c r="F755">
        <v>56</v>
      </c>
      <c r="G755">
        <v>80</v>
      </c>
      <c r="H755">
        <v>45</v>
      </c>
      <c r="I755" s="11">
        <v>4480</v>
      </c>
      <c r="J755" s="11">
        <v>2520</v>
      </c>
      <c r="K755" s="11">
        <v>1960</v>
      </c>
      <c r="L755" t="s">
        <v>88</v>
      </c>
      <c r="M755" t="s">
        <v>118</v>
      </c>
      <c r="N755" t="s">
        <v>123</v>
      </c>
    </row>
    <row r="756" spans="1:14">
      <c r="A756" s="20">
        <v>45439</v>
      </c>
      <c r="B756" t="s">
        <v>106</v>
      </c>
      <c r="C756" t="s">
        <v>95</v>
      </c>
      <c r="D756" t="s">
        <v>110</v>
      </c>
      <c r="E756">
        <v>38</v>
      </c>
      <c r="F756">
        <v>197</v>
      </c>
      <c r="G756">
        <v>110</v>
      </c>
      <c r="H756">
        <v>60</v>
      </c>
      <c r="I756" s="11">
        <v>21670</v>
      </c>
      <c r="J756" s="11">
        <v>11820</v>
      </c>
      <c r="K756" s="11">
        <v>9850</v>
      </c>
      <c r="L756" t="s">
        <v>82</v>
      </c>
      <c r="M756" t="s">
        <v>116</v>
      </c>
      <c r="N756" t="s">
        <v>125</v>
      </c>
    </row>
    <row r="757" spans="1:14">
      <c r="A757" s="20">
        <v>45417</v>
      </c>
      <c r="B757" t="s">
        <v>103</v>
      </c>
      <c r="C757" t="s">
        <v>96</v>
      </c>
      <c r="D757" t="s">
        <v>110</v>
      </c>
      <c r="E757">
        <v>33</v>
      </c>
      <c r="F757">
        <v>93</v>
      </c>
      <c r="G757">
        <v>90</v>
      </c>
      <c r="H757">
        <v>50</v>
      </c>
      <c r="I757" s="11">
        <v>8370</v>
      </c>
      <c r="J757" s="11">
        <v>4650</v>
      </c>
      <c r="K757" s="11">
        <v>3720</v>
      </c>
      <c r="L757" t="s">
        <v>82</v>
      </c>
      <c r="M757" t="s">
        <v>116</v>
      </c>
      <c r="N757" t="s">
        <v>124</v>
      </c>
    </row>
    <row r="758" spans="1:14">
      <c r="A758" s="20">
        <v>45368</v>
      </c>
      <c r="B758" t="s">
        <v>103</v>
      </c>
      <c r="C758" t="s">
        <v>97</v>
      </c>
      <c r="D758" t="s">
        <v>112</v>
      </c>
      <c r="E758">
        <v>41</v>
      </c>
      <c r="F758">
        <v>196</v>
      </c>
      <c r="G758">
        <v>130</v>
      </c>
      <c r="H758">
        <v>70</v>
      </c>
      <c r="I758" s="11">
        <v>25480</v>
      </c>
      <c r="J758" s="11">
        <v>13720</v>
      </c>
      <c r="K758" s="11">
        <v>11760</v>
      </c>
      <c r="L758" t="s">
        <v>80</v>
      </c>
      <c r="M758" t="s">
        <v>115</v>
      </c>
      <c r="N758" t="s">
        <v>125</v>
      </c>
    </row>
    <row r="759" spans="1:14">
      <c r="A759" s="20">
        <v>45450</v>
      </c>
      <c r="B759" t="s">
        <v>104</v>
      </c>
      <c r="C759" t="s">
        <v>95</v>
      </c>
      <c r="D759" t="s">
        <v>112</v>
      </c>
      <c r="E759">
        <v>36</v>
      </c>
      <c r="F759">
        <v>132</v>
      </c>
      <c r="G759">
        <v>110</v>
      </c>
      <c r="H759">
        <v>60</v>
      </c>
      <c r="I759" s="11">
        <v>14520</v>
      </c>
      <c r="J759" s="11">
        <v>7920</v>
      </c>
      <c r="K759" s="11">
        <v>6600</v>
      </c>
      <c r="L759" t="s">
        <v>83</v>
      </c>
      <c r="M759" t="s">
        <v>116</v>
      </c>
      <c r="N759" t="s">
        <v>125</v>
      </c>
    </row>
    <row r="760" spans="1:14">
      <c r="A760" s="20">
        <v>45579</v>
      </c>
      <c r="B760" t="s">
        <v>104</v>
      </c>
      <c r="C760" t="s">
        <v>96</v>
      </c>
      <c r="D760" t="s">
        <v>110</v>
      </c>
      <c r="E760">
        <v>33</v>
      </c>
      <c r="F760">
        <v>89</v>
      </c>
      <c r="G760">
        <v>90</v>
      </c>
      <c r="H760">
        <v>50</v>
      </c>
      <c r="I760" s="11">
        <v>8010</v>
      </c>
      <c r="J760" s="11">
        <v>4450</v>
      </c>
      <c r="K760" s="11">
        <v>3560</v>
      </c>
      <c r="L760" t="s">
        <v>87</v>
      </c>
      <c r="M760" t="s">
        <v>118</v>
      </c>
      <c r="N760" t="s">
        <v>124</v>
      </c>
    </row>
    <row r="761" spans="1:14">
      <c r="A761" s="20">
        <v>45564</v>
      </c>
      <c r="B761" t="s">
        <v>105</v>
      </c>
      <c r="C761" t="s">
        <v>96</v>
      </c>
      <c r="D761" t="s">
        <v>110</v>
      </c>
      <c r="E761">
        <v>33</v>
      </c>
      <c r="F761">
        <v>60</v>
      </c>
      <c r="G761">
        <v>90</v>
      </c>
      <c r="H761">
        <v>50</v>
      </c>
      <c r="I761" s="11">
        <v>5400</v>
      </c>
      <c r="J761" s="11">
        <v>3000</v>
      </c>
      <c r="K761" s="11">
        <v>2400</v>
      </c>
      <c r="L761" t="s">
        <v>86</v>
      </c>
      <c r="M761" t="s">
        <v>117</v>
      </c>
      <c r="N761" t="s">
        <v>124</v>
      </c>
    </row>
    <row r="762" spans="1:14">
      <c r="A762" s="20">
        <v>45420</v>
      </c>
      <c r="B762" t="s">
        <v>103</v>
      </c>
      <c r="C762" t="s">
        <v>94</v>
      </c>
      <c r="D762" t="s">
        <v>111</v>
      </c>
      <c r="E762">
        <v>33</v>
      </c>
      <c r="F762">
        <v>160</v>
      </c>
      <c r="G762">
        <v>80</v>
      </c>
      <c r="H762">
        <v>45</v>
      </c>
      <c r="I762" s="11">
        <v>12800</v>
      </c>
      <c r="J762" s="11">
        <v>7200</v>
      </c>
      <c r="K762" s="11">
        <v>5600</v>
      </c>
      <c r="L762" t="s">
        <v>82</v>
      </c>
      <c r="M762" t="s">
        <v>116</v>
      </c>
      <c r="N762" t="s">
        <v>124</v>
      </c>
    </row>
    <row r="763" spans="1:14">
      <c r="A763" s="20">
        <v>45386</v>
      </c>
      <c r="B763" t="s">
        <v>104</v>
      </c>
      <c r="C763" t="s">
        <v>93</v>
      </c>
      <c r="D763" t="s">
        <v>110</v>
      </c>
      <c r="E763">
        <v>36</v>
      </c>
      <c r="F763">
        <v>96</v>
      </c>
      <c r="G763">
        <v>100</v>
      </c>
      <c r="H763">
        <v>55</v>
      </c>
      <c r="I763" s="11">
        <v>9600</v>
      </c>
      <c r="J763" s="11">
        <v>5280</v>
      </c>
      <c r="K763" s="11">
        <v>4320</v>
      </c>
      <c r="L763" t="s">
        <v>81</v>
      </c>
      <c r="M763" t="s">
        <v>116</v>
      </c>
      <c r="N763" t="s">
        <v>125</v>
      </c>
    </row>
    <row r="764" spans="1:14">
      <c r="A764" s="20">
        <v>45397</v>
      </c>
      <c r="B764" t="s">
        <v>105</v>
      </c>
      <c r="C764" t="s">
        <v>95</v>
      </c>
      <c r="D764" t="s">
        <v>111</v>
      </c>
      <c r="E764">
        <v>41</v>
      </c>
      <c r="F764">
        <v>68</v>
      </c>
      <c r="G764">
        <v>110</v>
      </c>
      <c r="H764">
        <v>60</v>
      </c>
      <c r="I764" s="11">
        <v>7480</v>
      </c>
      <c r="J764" s="11">
        <v>4080</v>
      </c>
      <c r="K764" s="11">
        <v>3400</v>
      </c>
      <c r="L764" t="s">
        <v>81</v>
      </c>
      <c r="M764" t="s">
        <v>116</v>
      </c>
      <c r="N764" t="s">
        <v>125</v>
      </c>
    </row>
    <row r="765" spans="1:14">
      <c r="A765" s="20">
        <v>45587</v>
      </c>
      <c r="B765" t="s">
        <v>106</v>
      </c>
      <c r="C765" t="s">
        <v>94</v>
      </c>
      <c r="D765" t="s">
        <v>110</v>
      </c>
      <c r="E765">
        <v>26</v>
      </c>
      <c r="F765">
        <v>96</v>
      </c>
      <c r="G765">
        <v>80</v>
      </c>
      <c r="H765">
        <v>45</v>
      </c>
      <c r="I765" s="11">
        <v>7680</v>
      </c>
      <c r="J765" s="11">
        <v>4320</v>
      </c>
      <c r="K765" s="11">
        <v>3360</v>
      </c>
      <c r="L765" t="s">
        <v>87</v>
      </c>
      <c r="M765" t="s">
        <v>118</v>
      </c>
      <c r="N765" t="s">
        <v>123</v>
      </c>
    </row>
    <row r="766" spans="1:14">
      <c r="A766" s="20">
        <v>45473</v>
      </c>
      <c r="B766" t="s">
        <v>105</v>
      </c>
      <c r="C766" t="s">
        <v>96</v>
      </c>
      <c r="D766" t="s">
        <v>111</v>
      </c>
      <c r="E766">
        <v>35</v>
      </c>
      <c r="F766">
        <v>79</v>
      </c>
      <c r="G766">
        <v>90</v>
      </c>
      <c r="H766">
        <v>50</v>
      </c>
      <c r="I766" s="11">
        <v>7110</v>
      </c>
      <c r="J766" s="11">
        <v>3950</v>
      </c>
      <c r="K766" s="11">
        <v>3160</v>
      </c>
      <c r="L766" t="s">
        <v>83</v>
      </c>
      <c r="M766" t="s">
        <v>116</v>
      </c>
      <c r="N766" t="s">
        <v>124</v>
      </c>
    </row>
    <row r="767" spans="1:14">
      <c r="A767" s="20">
        <v>45457</v>
      </c>
      <c r="B767" t="s">
        <v>103</v>
      </c>
      <c r="C767" t="s">
        <v>94</v>
      </c>
      <c r="D767" t="s">
        <v>110</v>
      </c>
      <c r="E767">
        <v>39</v>
      </c>
      <c r="F767">
        <v>91</v>
      </c>
      <c r="G767">
        <v>80</v>
      </c>
      <c r="H767">
        <v>45</v>
      </c>
      <c r="I767" s="11">
        <v>7280</v>
      </c>
      <c r="J767" s="11">
        <v>4095</v>
      </c>
      <c r="K767" s="11">
        <v>3185</v>
      </c>
      <c r="L767" t="s">
        <v>83</v>
      </c>
      <c r="M767" t="s">
        <v>116</v>
      </c>
      <c r="N767" t="s">
        <v>125</v>
      </c>
    </row>
    <row r="768" spans="1:14">
      <c r="A768" s="20">
        <v>45516</v>
      </c>
      <c r="B768" t="s">
        <v>105</v>
      </c>
      <c r="C768" t="s">
        <v>96</v>
      </c>
      <c r="D768" t="s">
        <v>110</v>
      </c>
      <c r="E768">
        <v>31</v>
      </c>
      <c r="F768">
        <v>66</v>
      </c>
      <c r="G768">
        <v>90</v>
      </c>
      <c r="H768">
        <v>50</v>
      </c>
      <c r="I768" s="11">
        <v>5940</v>
      </c>
      <c r="J768" s="11">
        <v>3300</v>
      </c>
      <c r="K768" s="11">
        <v>2640</v>
      </c>
      <c r="L768" t="s">
        <v>85</v>
      </c>
      <c r="M768" t="s">
        <v>117</v>
      </c>
      <c r="N768" t="s">
        <v>124</v>
      </c>
    </row>
    <row r="769" spans="1:14">
      <c r="A769" s="20">
        <v>45499</v>
      </c>
      <c r="B769" t="s">
        <v>103</v>
      </c>
      <c r="C769" t="s">
        <v>94</v>
      </c>
      <c r="D769" t="s">
        <v>111</v>
      </c>
      <c r="E769">
        <v>34</v>
      </c>
      <c r="F769">
        <v>56</v>
      </c>
      <c r="G769">
        <v>80</v>
      </c>
      <c r="H769">
        <v>45</v>
      </c>
      <c r="I769" s="11">
        <v>4480</v>
      </c>
      <c r="J769" s="11">
        <v>2520</v>
      </c>
      <c r="K769" s="11">
        <v>1960</v>
      </c>
      <c r="L769" t="s">
        <v>84</v>
      </c>
      <c r="M769" t="s">
        <v>117</v>
      </c>
      <c r="N769" t="s">
        <v>124</v>
      </c>
    </row>
    <row r="770" spans="1:14">
      <c r="A770" s="20">
        <v>45627</v>
      </c>
      <c r="B770" t="s">
        <v>104</v>
      </c>
      <c r="C770" t="s">
        <v>93</v>
      </c>
      <c r="D770" t="s">
        <v>112</v>
      </c>
      <c r="E770">
        <v>26</v>
      </c>
      <c r="F770">
        <v>49</v>
      </c>
      <c r="G770">
        <v>100</v>
      </c>
      <c r="H770">
        <v>55</v>
      </c>
      <c r="I770" s="11">
        <v>4900</v>
      </c>
      <c r="J770" s="11">
        <v>2695</v>
      </c>
      <c r="K770" s="11">
        <v>2205</v>
      </c>
      <c r="L770" t="s">
        <v>89</v>
      </c>
      <c r="M770" t="s">
        <v>118</v>
      </c>
      <c r="N770" t="s">
        <v>123</v>
      </c>
    </row>
    <row r="771" spans="1:14">
      <c r="A771" s="20">
        <v>45367</v>
      </c>
      <c r="B771" t="s">
        <v>105</v>
      </c>
      <c r="C771" t="s">
        <v>94</v>
      </c>
      <c r="D771" t="s">
        <v>111</v>
      </c>
      <c r="E771">
        <v>38</v>
      </c>
      <c r="F771">
        <v>69</v>
      </c>
      <c r="G771">
        <v>80</v>
      </c>
      <c r="H771">
        <v>45</v>
      </c>
      <c r="I771" s="11">
        <v>5520</v>
      </c>
      <c r="J771" s="11">
        <v>3105</v>
      </c>
      <c r="K771" s="11">
        <v>2415</v>
      </c>
      <c r="L771" t="s">
        <v>80</v>
      </c>
      <c r="M771" t="s">
        <v>115</v>
      </c>
      <c r="N771" t="s">
        <v>125</v>
      </c>
    </row>
    <row r="772" spans="1:14">
      <c r="A772" s="20">
        <v>45351</v>
      </c>
      <c r="B772" t="s">
        <v>105</v>
      </c>
      <c r="C772" t="s">
        <v>95</v>
      </c>
      <c r="D772" t="s">
        <v>111</v>
      </c>
      <c r="E772">
        <v>27</v>
      </c>
      <c r="F772">
        <v>56</v>
      </c>
      <c r="G772">
        <v>110</v>
      </c>
      <c r="H772">
        <v>60</v>
      </c>
      <c r="I772" s="11">
        <v>6160</v>
      </c>
      <c r="J772" s="11">
        <v>3360</v>
      </c>
      <c r="K772" s="11">
        <v>2800</v>
      </c>
      <c r="L772" t="s">
        <v>79</v>
      </c>
      <c r="M772" t="s">
        <v>115</v>
      </c>
      <c r="N772" t="s">
        <v>123</v>
      </c>
    </row>
    <row r="773" spans="1:14">
      <c r="A773" s="20">
        <v>45450</v>
      </c>
      <c r="B773" t="s">
        <v>104</v>
      </c>
      <c r="C773" t="s">
        <v>98</v>
      </c>
      <c r="D773" t="s">
        <v>111</v>
      </c>
      <c r="E773">
        <v>35</v>
      </c>
      <c r="F773">
        <v>150</v>
      </c>
      <c r="G773">
        <v>100</v>
      </c>
      <c r="H773">
        <v>55</v>
      </c>
      <c r="I773" s="11">
        <v>15000</v>
      </c>
      <c r="J773" s="11">
        <v>8250</v>
      </c>
      <c r="K773" s="11">
        <v>6750</v>
      </c>
      <c r="L773" t="s">
        <v>83</v>
      </c>
      <c r="M773" t="s">
        <v>116</v>
      </c>
      <c r="N773" t="s">
        <v>124</v>
      </c>
    </row>
    <row r="774" spans="1:14">
      <c r="A774" s="20">
        <v>45416</v>
      </c>
      <c r="B774" t="s">
        <v>104</v>
      </c>
      <c r="C774" t="s">
        <v>94</v>
      </c>
      <c r="D774" t="s">
        <v>111</v>
      </c>
      <c r="E774">
        <v>33</v>
      </c>
      <c r="F774">
        <v>150</v>
      </c>
      <c r="G774">
        <v>80</v>
      </c>
      <c r="H774">
        <v>45</v>
      </c>
      <c r="I774" s="11">
        <v>12000</v>
      </c>
      <c r="J774" s="11">
        <v>6750</v>
      </c>
      <c r="K774" s="11">
        <v>5250</v>
      </c>
      <c r="L774" t="s">
        <v>82</v>
      </c>
      <c r="M774" t="s">
        <v>116</v>
      </c>
      <c r="N774" t="s">
        <v>124</v>
      </c>
    </row>
    <row r="775" spans="1:14">
      <c r="A775" s="20">
        <v>45507</v>
      </c>
      <c r="B775" t="s">
        <v>106</v>
      </c>
      <c r="C775" t="s">
        <v>93</v>
      </c>
      <c r="D775" t="s">
        <v>110</v>
      </c>
      <c r="E775">
        <v>29</v>
      </c>
      <c r="F775">
        <v>99</v>
      </c>
      <c r="G775">
        <v>100</v>
      </c>
      <c r="H775">
        <v>55</v>
      </c>
      <c r="I775" s="11">
        <v>9900</v>
      </c>
      <c r="J775" s="11">
        <v>5445</v>
      </c>
      <c r="K775" s="11">
        <v>4455</v>
      </c>
      <c r="L775" t="s">
        <v>85</v>
      </c>
      <c r="M775" t="s">
        <v>117</v>
      </c>
      <c r="N775" t="s">
        <v>123</v>
      </c>
    </row>
    <row r="776" spans="1:14">
      <c r="A776" s="20">
        <v>45464</v>
      </c>
      <c r="B776" t="s">
        <v>104</v>
      </c>
      <c r="C776" t="s">
        <v>93</v>
      </c>
      <c r="D776" t="s">
        <v>111</v>
      </c>
      <c r="E776">
        <v>39</v>
      </c>
      <c r="F776">
        <v>149</v>
      </c>
      <c r="G776">
        <v>100</v>
      </c>
      <c r="H776">
        <v>55</v>
      </c>
      <c r="I776" s="11">
        <v>14900</v>
      </c>
      <c r="J776" s="11">
        <v>8195</v>
      </c>
      <c r="K776" s="11">
        <v>6705</v>
      </c>
      <c r="L776" t="s">
        <v>83</v>
      </c>
      <c r="M776" t="s">
        <v>116</v>
      </c>
      <c r="N776" t="s">
        <v>125</v>
      </c>
    </row>
    <row r="777" spans="1:14">
      <c r="A777" s="20">
        <v>45508</v>
      </c>
      <c r="B777" t="s">
        <v>106</v>
      </c>
      <c r="C777" t="s">
        <v>93</v>
      </c>
      <c r="D777" t="s">
        <v>111</v>
      </c>
      <c r="E777">
        <v>28</v>
      </c>
      <c r="F777">
        <v>67</v>
      </c>
      <c r="G777">
        <v>100</v>
      </c>
      <c r="H777">
        <v>55</v>
      </c>
      <c r="I777" s="11">
        <v>6700</v>
      </c>
      <c r="J777" s="11">
        <v>3685</v>
      </c>
      <c r="K777" s="11">
        <v>3015</v>
      </c>
      <c r="L777" t="s">
        <v>85</v>
      </c>
      <c r="M777" t="s">
        <v>117</v>
      </c>
      <c r="N777" t="s">
        <v>123</v>
      </c>
    </row>
    <row r="778" spans="1:14">
      <c r="A778" s="20">
        <v>45442</v>
      </c>
      <c r="B778" t="s">
        <v>103</v>
      </c>
      <c r="C778" t="s">
        <v>94</v>
      </c>
      <c r="D778" t="s">
        <v>110</v>
      </c>
      <c r="E778">
        <v>39</v>
      </c>
      <c r="F778">
        <v>198</v>
      </c>
      <c r="G778">
        <v>80</v>
      </c>
      <c r="H778">
        <v>45</v>
      </c>
      <c r="I778" s="11">
        <v>15840</v>
      </c>
      <c r="J778" s="11">
        <v>8910</v>
      </c>
      <c r="K778" s="11">
        <v>6930</v>
      </c>
      <c r="L778" t="s">
        <v>82</v>
      </c>
      <c r="M778" t="s">
        <v>116</v>
      </c>
      <c r="N778" t="s">
        <v>125</v>
      </c>
    </row>
    <row r="779" spans="1:14">
      <c r="A779" s="20">
        <v>45534</v>
      </c>
      <c r="B779" t="s">
        <v>103</v>
      </c>
      <c r="C779" t="s">
        <v>96</v>
      </c>
      <c r="D779" t="s">
        <v>111</v>
      </c>
      <c r="E779">
        <v>26</v>
      </c>
      <c r="F779">
        <v>45</v>
      </c>
      <c r="G779">
        <v>90</v>
      </c>
      <c r="H779">
        <v>50</v>
      </c>
      <c r="I779" s="11">
        <v>4050</v>
      </c>
      <c r="J779" s="11">
        <v>2250</v>
      </c>
      <c r="K779" s="11">
        <v>1800</v>
      </c>
      <c r="L779" t="s">
        <v>85</v>
      </c>
      <c r="M779" t="s">
        <v>117</v>
      </c>
      <c r="N779" t="s">
        <v>123</v>
      </c>
    </row>
    <row r="780" spans="1:14">
      <c r="A780" s="20">
        <v>45378</v>
      </c>
      <c r="B780" t="s">
        <v>103</v>
      </c>
      <c r="C780" t="s">
        <v>96</v>
      </c>
      <c r="D780" t="s">
        <v>110</v>
      </c>
      <c r="E780">
        <v>32</v>
      </c>
      <c r="F780">
        <v>93</v>
      </c>
      <c r="G780">
        <v>90</v>
      </c>
      <c r="H780">
        <v>50</v>
      </c>
      <c r="I780" s="11">
        <v>8370</v>
      </c>
      <c r="J780" s="11">
        <v>4650</v>
      </c>
      <c r="K780" s="11">
        <v>3720</v>
      </c>
      <c r="L780" t="s">
        <v>80</v>
      </c>
      <c r="M780" t="s">
        <v>115</v>
      </c>
      <c r="N780" t="s">
        <v>124</v>
      </c>
    </row>
    <row r="781" spans="1:14">
      <c r="A781" s="20">
        <v>45460</v>
      </c>
      <c r="B781" t="s">
        <v>104</v>
      </c>
      <c r="C781" t="s">
        <v>93</v>
      </c>
      <c r="D781" t="s">
        <v>110</v>
      </c>
      <c r="E781">
        <v>35</v>
      </c>
      <c r="F781">
        <v>76</v>
      </c>
      <c r="G781">
        <v>100</v>
      </c>
      <c r="H781">
        <v>55</v>
      </c>
      <c r="I781" s="11">
        <v>7600</v>
      </c>
      <c r="J781" s="11">
        <v>4180</v>
      </c>
      <c r="K781" s="11">
        <v>3420</v>
      </c>
      <c r="L781" t="s">
        <v>83</v>
      </c>
      <c r="M781" t="s">
        <v>116</v>
      </c>
      <c r="N781" t="s">
        <v>124</v>
      </c>
    </row>
    <row r="782" spans="1:14">
      <c r="A782" s="20">
        <v>45634</v>
      </c>
      <c r="B782" t="s">
        <v>105</v>
      </c>
      <c r="C782" t="s">
        <v>95</v>
      </c>
      <c r="D782" t="s">
        <v>110</v>
      </c>
      <c r="E782">
        <v>22</v>
      </c>
      <c r="F782">
        <v>42</v>
      </c>
      <c r="G782">
        <v>110</v>
      </c>
      <c r="H782">
        <v>60</v>
      </c>
      <c r="I782" s="11">
        <v>4620</v>
      </c>
      <c r="J782" s="11">
        <v>2520</v>
      </c>
      <c r="K782" s="11">
        <v>2100</v>
      </c>
      <c r="L782" t="s">
        <v>89</v>
      </c>
      <c r="M782" t="s">
        <v>118</v>
      </c>
      <c r="N782" t="s">
        <v>122</v>
      </c>
    </row>
    <row r="783" spans="1:14">
      <c r="A783" s="20">
        <v>45578</v>
      </c>
      <c r="B783" t="s">
        <v>104</v>
      </c>
      <c r="C783" t="s">
        <v>93</v>
      </c>
      <c r="D783" t="s">
        <v>110</v>
      </c>
      <c r="E783">
        <v>32</v>
      </c>
      <c r="F783">
        <v>91</v>
      </c>
      <c r="G783">
        <v>100</v>
      </c>
      <c r="H783">
        <v>55</v>
      </c>
      <c r="I783" s="11">
        <v>9100</v>
      </c>
      <c r="J783" s="11">
        <v>5005</v>
      </c>
      <c r="K783" s="11">
        <v>4095</v>
      </c>
      <c r="L783" t="s">
        <v>87</v>
      </c>
      <c r="M783" t="s">
        <v>118</v>
      </c>
      <c r="N783" t="s">
        <v>124</v>
      </c>
    </row>
    <row r="784" spans="1:14">
      <c r="A784" s="20">
        <v>45579</v>
      </c>
      <c r="B784" t="s">
        <v>106</v>
      </c>
      <c r="C784" t="s">
        <v>98</v>
      </c>
      <c r="D784" t="s">
        <v>111</v>
      </c>
      <c r="E784">
        <v>31</v>
      </c>
      <c r="F784">
        <v>102</v>
      </c>
      <c r="G784">
        <v>100</v>
      </c>
      <c r="H784">
        <v>55</v>
      </c>
      <c r="I784" s="11">
        <v>10200</v>
      </c>
      <c r="J784" s="11">
        <v>5610</v>
      </c>
      <c r="K784" s="11">
        <v>4590</v>
      </c>
      <c r="L784" t="s">
        <v>87</v>
      </c>
      <c r="M784" t="s">
        <v>118</v>
      </c>
      <c r="N784" t="s">
        <v>124</v>
      </c>
    </row>
    <row r="785" spans="1:14">
      <c r="A785" s="20">
        <v>45386</v>
      </c>
      <c r="B785" t="s">
        <v>105</v>
      </c>
      <c r="C785" t="s">
        <v>93</v>
      </c>
      <c r="D785" t="s">
        <v>110</v>
      </c>
      <c r="E785">
        <v>39</v>
      </c>
      <c r="F785">
        <v>138</v>
      </c>
      <c r="G785">
        <v>100</v>
      </c>
      <c r="H785">
        <v>55</v>
      </c>
      <c r="I785" s="11">
        <v>13800</v>
      </c>
      <c r="J785" s="11">
        <v>7590</v>
      </c>
      <c r="K785" s="11">
        <v>6210</v>
      </c>
      <c r="L785" t="s">
        <v>81</v>
      </c>
      <c r="M785" t="s">
        <v>116</v>
      </c>
      <c r="N785" t="s">
        <v>125</v>
      </c>
    </row>
    <row r="786" spans="1:14">
      <c r="A786" s="20">
        <v>45538</v>
      </c>
      <c r="B786" t="s">
        <v>103</v>
      </c>
      <c r="C786" t="s">
        <v>93</v>
      </c>
      <c r="D786" t="s">
        <v>110</v>
      </c>
      <c r="E786">
        <v>31</v>
      </c>
      <c r="F786">
        <v>68</v>
      </c>
      <c r="G786">
        <v>100</v>
      </c>
      <c r="H786">
        <v>55</v>
      </c>
      <c r="I786" s="11">
        <v>6800</v>
      </c>
      <c r="J786" s="11">
        <v>3740</v>
      </c>
      <c r="K786" s="11">
        <v>3060</v>
      </c>
      <c r="L786" t="s">
        <v>86</v>
      </c>
      <c r="M786" t="s">
        <v>117</v>
      </c>
      <c r="N786" t="s">
        <v>124</v>
      </c>
    </row>
    <row r="787" spans="1:14">
      <c r="A787" s="20">
        <v>45635</v>
      </c>
      <c r="B787" t="s">
        <v>103</v>
      </c>
      <c r="C787" t="s">
        <v>93</v>
      </c>
      <c r="D787" t="s">
        <v>110</v>
      </c>
      <c r="E787">
        <v>20</v>
      </c>
      <c r="F787">
        <v>29</v>
      </c>
      <c r="G787">
        <v>100</v>
      </c>
      <c r="H787">
        <v>55</v>
      </c>
      <c r="I787" s="11">
        <v>2900</v>
      </c>
      <c r="J787" s="11">
        <v>1595</v>
      </c>
      <c r="K787" s="11">
        <v>1305</v>
      </c>
      <c r="L787" t="s">
        <v>89</v>
      </c>
      <c r="M787" t="s">
        <v>118</v>
      </c>
      <c r="N787" t="s">
        <v>122</v>
      </c>
    </row>
    <row r="788" spans="1:14">
      <c r="A788" s="20">
        <v>45484</v>
      </c>
      <c r="B788" t="s">
        <v>104</v>
      </c>
      <c r="C788" t="s">
        <v>93</v>
      </c>
      <c r="D788" t="s">
        <v>110</v>
      </c>
      <c r="E788">
        <v>29</v>
      </c>
      <c r="F788">
        <v>95</v>
      </c>
      <c r="G788">
        <v>100</v>
      </c>
      <c r="H788">
        <v>55</v>
      </c>
      <c r="I788" s="11">
        <v>9500</v>
      </c>
      <c r="J788" s="11">
        <v>5225</v>
      </c>
      <c r="K788" s="11">
        <v>4275</v>
      </c>
      <c r="L788" t="s">
        <v>84</v>
      </c>
      <c r="M788" t="s">
        <v>117</v>
      </c>
      <c r="N788" t="s">
        <v>123</v>
      </c>
    </row>
    <row r="789" spans="1:14">
      <c r="A789" s="20">
        <v>45617</v>
      </c>
      <c r="B789" t="s">
        <v>105</v>
      </c>
      <c r="C789" t="s">
        <v>96</v>
      </c>
      <c r="D789" t="s">
        <v>110</v>
      </c>
      <c r="E789">
        <v>22</v>
      </c>
      <c r="F789">
        <v>44</v>
      </c>
      <c r="G789">
        <v>90</v>
      </c>
      <c r="H789">
        <v>50</v>
      </c>
      <c r="I789" s="11">
        <v>3960</v>
      </c>
      <c r="J789" s="11">
        <v>2200</v>
      </c>
      <c r="K789" s="11">
        <v>1760</v>
      </c>
      <c r="L789" t="s">
        <v>88</v>
      </c>
      <c r="M789" t="s">
        <v>118</v>
      </c>
      <c r="N789" t="s">
        <v>122</v>
      </c>
    </row>
    <row r="790" spans="1:14">
      <c r="A790" s="20">
        <v>45655</v>
      </c>
      <c r="B790" t="s">
        <v>105</v>
      </c>
      <c r="C790" t="s">
        <v>95</v>
      </c>
      <c r="D790" t="s">
        <v>111</v>
      </c>
      <c r="E790">
        <v>20</v>
      </c>
      <c r="F790">
        <v>13</v>
      </c>
      <c r="G790">
        <v>110</v>
      </c>
      <c r="H790">
        <v>60</v>
      </c>
      <c r="I790" s="11">
        <v>1430</v>
      </c>
      <c r="J790" s="11">
        <v>780</v>
      </c>
      <c r="K790" s="11">
        <v>650</v>
      </c>
      <c r="L790" t="s">
        <v>89</v>
      </c>
      <c r="M790" t="s">
        <v>118</v>
      </c>
      <c r="N790" t="s">
        <v>122</v>
      </c>
    </row>
    <row r="791" spans="1:14">
      <c r="A791" s="20">
        <v>45566</v>
      </c>
      <c r="B791" t="s">
        <v>105</v>
      </c>
      <c r="C791" t="s">
        <v>95</v>
      </c>
      <c r="D791" t="s">
        <v>110</v>
      </c>
      <c r="E791">
        <v>34</v>
      </c>
      <c r="F791">
        <v>89</v>
      </c>
      <c r="G791">
        <v>110</v>
      </c>
      <c r="H791">
        <v>60</v>
      </c>
      <c r="I791" s="11">
        <v>9790</v>
      </c>
      <c r="J791" s="11">
        <v>5340</v>
      </c>
      <c r="K791" s="11">
        <v>4450</v>
      </c>
      <c r="L791" t="s">
        <v>87</v>
      </c>
      <c r="M791" t="s">
        <v>118</v>
      </c>
      <c r="N791" t="s">
        <v>124</v>
      </c>
    </row>
    <row r="792" spans="1:14">
      <c r="A792" s="20">
        <v>45377</v>
      </c>
      <c r="B792" t="s">
        <v>104</v>
      </c>
      <c r="C792" t="s">
        <v>93</v>
      </c>
      <c r="D792" t="s">
        <v>111</v>
      </c>
      <c r="E792">
        <v>34</v>
      </c>
      <c r="F792">
        <v>92</v>
      </c>
      <c r="G792">
        <v>100</v>
      </c>
      <c r="H792">
        <v>55</v>
      </c>
      <c r="I792" s="11">
        <v>9200</v>
      </c>
      <c r="J792" s="11">
        <v>5060</v>
      </c>
      <c r="K792" s="11">
        <v>4140</v>
      </c>
      <c r="L792" t="s">
        <v>80</v>
      </c>
      <c r="M792" t="s">
        <v>115</v>
      </c>
      <c r="N792" t="s">
        <v>124</v>
      </c>
    </row>
    <row r="793" spans="1:14">
      <c r="A793" s="20">
        <v>45491</v>
      </c>
      <c r="B793" t="s">
        <v>103</v>
      </c>
      <c r="C793" t="s">
        <v>97</v>
      </c>
      <c r="D793" t="s">
        <v>110</v>
      </c>
      <c r="E793">
        <v>34</v>
      </c>
      <c r="F793">
        <v>72</v>
      </c>
      <c r="G793">
        <v>130</v>
      </c>
      <c r="H793">
        <v>70</v>
      </c>
      <c r="I793" s="11">
        <v>9360</v>
      </c>
      <c r="J793" s="11">
        <v>5040</v>
      </c>
      <c r="K793" s="11">
        <v>4320</v>
      </c>
      <c r="L793" t="s">
        <v>84</v>
      </c>
      <c r="M793" t="s">
        <v>117</v>
      </c>
      <c r="N793" t="s">
        <v>124</v>
      </c>
    </row>
    <row r="794" spans="1:14">
      <c r="A794" s="20">
        <v>45311</v>
      </c>
      <c r="B794" t="s">
        <v>106</v>
      </c>
      <c r="C794" t="s">
        <v>95</v>
      </c>
      <c r="D794" t="s">
        <v>112</v>
      </c>
      <c r="E794">
        <v>24</v>
      </c>
      <c r="F794">
        <v>24</v>
      </c>
      <c r="G794">
        <v>110</v>
      </c>
      <c r="H794">
        <v>60</v>
      </c>
      <c r="I794" s="11">
        <v>2640</v>
      </c>
      <c r="J794" s="11">
        <v>1440</v>
      </c>
      <c r="K794" s="11">
        <v>1200</v>
      </c>
      <c r="L794" t="s">
        <v>78</v>
      </c>
      <c r="M794" t="s">
        <v>115</v>
      </c>
      <c r="N794" t="s">
        <v>122</v>
      </c>
    </row>
    <row r="795" spans="1:14">
      <c r="A795" s="20">
        <v>45558</v>
      </c>
      <c r="B795" t="s">
        <v>106</v>
      </c>
      <c r="C795" t="s">
        <v>96</v>
      </c>
      <c r="D795" t="s">
        <v>110</v>
      </c>
      <c r="E795">
        <v>28</v>
      </c>
      <c r="F795">
        <v>72</v>
      </c>
      <c r="G795">
        <v>90</v>
      </c>
      <c r="H795">
        <v>50</v>
      </c>
      <c r="I795" s="11">
        <v>6480</v>
      </c>
      <c r="J795" s="11">
        <v>3600</v>
      </c>
      <c r="K795" s="11">
        <v>2880</v>
      </c>
      <c r="L795" t="s">
        <v>86</v>
      </c>
      <c r="M795" t="s">
        <v>117</v>
      </c>
      <c r="N795" t="s">
        <v>123</v>
      </c>
    </row>
    <row r="796" spans="1:14">
      <c r="A796" s="20">
        <v>45521</v>
      </c>
      <c r="B796" t="s">
        <v>103</v>
      </c>
      <c r="C796" t="s">
        <v>95</v>
      </c>
      <c r="D796" t="s">
        <v>112</v>
      </c>
      <c r="E796">
        <v>29</v>
      </c>
      <c r="F796">
        <v>101</v>
      </c>
      <c r="G796">
        <v>110</v>
      </c>
      <c r="H796">
        <v>60</v>
      </c>
      <c r="I796" s="11">
        <v>11110</v>
      </c>
      <c r="J796" s="11">
        <v>6060</v>
      </c>
      <c r="K796" s="11">
        <v>5050</v>
      </c>
      <c r="L796" t="s">
        <v>85</v>
      </c>
      <c r="M796" t="s">
        <v>117</v>
      </c>
      <c r="N796" t="s">
        <v>123</v>
      </c>
    </row>
    <row r="797" spans="1:14">
      <c r="A797" s="20">
        <v>45554</v>
      </c>
      <c r="B797" t="s">
        <v>104</v>
      </c>
      <c r="C797" t="s">
        <v>96</v>
      </c>
      <c r="D797" t="s">
        <v>110</v>
      </c>
      <c r="E797">
        <v>31</v>
      </c>
      <c r="F797">
        <v>55</v>
      </c>
      <c r="G797">
        <v>90</v>
      </c>
      <c r="H797">
        <v>50</v>
      </c>
      <c r="I797" s="11">
        <v>4950</v>
      </c>
      <c r="J797" s="11">
        <v>2750</v>
      </c>
      <c r="K797" s="11">
        <v>2200</v>
      </c>
      <c r="L797" t="s">
        <v>86</v>
      </c>
      <c r="M797" t="s">
        <v>117</v>
      </c>
      <c r="N797" t="s">
        <v>124</v>
      </c>
    </row>
    <row r="798" spans="1:14">
      <c r="A798" s="20">
        <v>45657</v>
      </c>
      <c r="B798" t="s">
        <v>106</v>
      </c>
      <c r="C798" t="s">
        <v>93</v>
      </c>
      <c r="D798" t="s">
        <v>111</v>
      </c>
      <c r="E798">
        <v>26</v>
      </c>
      <c r="F798">
        <v>33</v>
      </c>
      <c r="G798">
        <v>100</v>
      </c>
      <c r="H798">
        <v>55</v>
      </c>
      <c r="I798" s="11">
        <v>3300</v>
      </c>
      <c r="J798" s="11">
        <v>1815</v>
      </c>
      <c r="K798" s="11">
        <v>1485</v>
      </c>
      <c r="L798" t="s">
        <v>89</v>
      </c>
      <c r="M798" t="s">
        <v>118</v>
      </c>
      <c r="N798" t="s">
        <v>123</v>
      </c>
    </row>
    <row r="799" spans="1:14">
      <c r="A799" s="20">
        <v>45560</v>
      </c>
      <c r="B799" t="s">
        <v>105</v>
      </c>
      <c r="C799" t="s">
        <v>95</v>
      </c>
      <c r="D799" t="s">
        <v>110</v>
      </c>
      <c r="E799">
        <v>26</v>
      </c>
      <c r="F799">
        <v>33</v>
      </c>
      <c r="G799">
        <v>110</v>
      </c>
      <c r="H799">
        <v>60</v>
      </c>
      <c r="I799" s="11">
        <v>3630</v>
      </c>
      <c r="J799" s="11">
        <v>1980</v>
      </c>
      <c r="K799" s="11">
        <v>1650</v>
      </c>
      <c r="L799" t="s">
        <v>86</v>
      </c>
      <c r="M799" t="s">
        <v>117</v>
      </c>
      <c r="N799" t="s">
        <v>123</v>
      </c>
    </row>
    <row r="800" spans="1:14">
      <c r="A800" s="20">
        <v>45298</v>
      </c>
      <c r="B800" t="s">
        <v>104</v>
      </c>
      <c r="C800" t="s">
        <v>93</v>
      </c>
      <c r="D800" t="s">
        <v>112</v>
      </c>
      <c r="E800">
        <v>24</v>
      </c>
      <c r="F800">
        <v>32</v>
      </c>
      <c r="G800">
        <v>100</v>
      </c>
      <c r="H800">
        <v>55</v>
      </c>
      <c r="I800" s="11">
        <v>3200</v>
      </c>
      <c r="J800" s="11">
        <v>1760</v>
      </c>
      <c r="K800" s="11">
        <v>1440</v>
      </c>
      <c r="L800" t="s">
        <v>78</v>
      </c>
      <c r="M800" t="s">
        <v>115</v>
      </c>
      <c r="N800" t="s">
        <v>122</v>
      </c>
    </row>
    <row r="801" spans="1:14">
      <c r="A801" s="20">
        <v>45319</v>
      </c>
      <c r="B801" t="s">
        <v>103</v>
      </c>
      <c r="C801" t="s">
        <v>96</v>
      </c>
      <c r="D801" t="s">
        <v>111</v>
      </c>
      <c r="E801">
        <v>20</v>
      </c>
      <c r="F801">
        <v>38</v>
      </c>
      <c r="G801">
        <v>90</v>
      </c>
      <c r="H801">
        <v>50</v>
      </c>
      <c r="I801" s="11">
        <v>3420</v>
      </c>
      <c r="J801" s="11">
        <v>1900</v>
      </c>
      <c r="K801" s="11">
        <v>1520</v>
      </c>
      <c r="L801" t="s">
        <v>78</v>
      </c>
      <c r="M801" t="s">
        <v>115</v>
      </c>
      <c r="N801" t="s">
        <v>122</v>
      </c>
    </row>
    <row r="802" spans="1:14">
      <c r="A802" s="20">
        <v>45644</v>
      </c>
      <c r="B802" t="s">
        <v>103</v>
      </c>
      <c r="C802" t="s">
        <v>96</v>
      </c>
      <c r="D802" t="s">
        <v>111</v>
      </c>
      <c r="E802">
        <v>20</v>
      </c>
      <c r="F802">
        <v>26</v>
      </c>
      <c r="G802">
        <v>90</v>
      </c>
      <c r="H802">
        <v>50</v>
      </c>
      <c r="I802" s="11">
        <v>2340</v>
      </c>
      <c r="J802" s="11">
        <v>1300</v>
      </c>
      <c r="K802" s="11">
        <v>1040</v>
      </c>
      <c r="L802" t="s">
        <v>89</v>
      </c>
      <c r="M802" t="s">
        <v>118</v>
      </c>
      <c r="N802" t="s">
        <v>122</v>
      </c>
    </row>
    <row r="803" spans="1:14">
      <c r="A803" s="20">
        <v>45499</v>
      </c>
      <c r="B803" t="s">
        <v>106</v>
      </c>
      <c r="C803" t="s">
        <v>94</v>
      </c>
      <c r="D803" t="s">
        <v>112</v>
      </c>
      <c r="E803">
        <v>31</v>
      </c>
      <c r="F803">
        <v>80</v>
      </c>
      <c r="G803">
        <v>80</v>
      </c>
      <c r="H803">
        <v>45</v>
      </c>
      <c r="I803" s="11">
        <v>6400</v>
      </c>
      <c r="J803" s="11">
        <v>3600</v>
      </c>
      <c r="K803" s="11">
        <v>2800</v>
      </c>
      <c r="L803" t="s">
        <v>84</v>
      </c>
      <c r="M803" t="s">
        <v>117</v>
      </c>
      <c r="N803" t="s">
        <v>124</v>
      </c>
    </row>
    <row r="804" spans="1:14">
      <c r="A804" s="20">
        <v>45397</v>
      </c>
      <c r="B804" t="s">
        <v>105</v>
      </c>
      <c r="C804" t="s">
        <v>96</v>
      </c>
      <c r="D804" t="s">
        <v>110</v>
      </c>
      <c r="E804">
        <v>38</v>
      </c>
      <c r="F804">
        <v>113</v>
      </c>
      <c r="G804">
        <v>90</v>
      </c>
      <c r="H804">
        <v>50</v>
      </c>
      <c r="I804" s="11">
        <v>10170</v>
      </c>
      <c r="J804" s="11">
        <v>5650</v>
      </c>
      <c r="K804" s="11">
        <v>4520</v>
      </c>
      <c r="L804" t="s">
        <v>81</v>
      </c>
      <c r="M804" t="s">
        <v>116</v>
      </c>
      <c r="N804" t="s">
        <v>125</v>
      </c>
    </row>
    <row r="805" spans="1:14">
      <c r="A805" s="20">
        <v>45508</v>
      </c>
      <c r="B805" t="s">
        <v>105</v>
      </c>
      <c r="C805" t="s">
        <v>97</v>
      </c>
      <c r="D805" t="s">
        <v>112</v>
      </c>
      <c r="E805">
        <v>34</v>
      </c>
      <c r="F805">
        <v>70</v>
      </c>
      <c r="G805">
        <v>130</v>
      </c>
      <c r="H805">
        <v>70</v>
      </c>
      <c r="I805" s="11">
        <v>9100</v>
      </c>
      <c r="J805" s="11">
        <v>4900</v>
      </c>
      <c r="K805" s="11">
        <v>4200</v>
      </c>
      <c r="L805" t="s">
        <v>85</v>
      </c>
      <c r="M805" t="s">
        <v>117</v>
      </c>
      <c r="N805" t="s">
        <v>124</v>
      </c>
    </row>
    <row r="806" spans="1:14">
      <c r="A806" s="20">
        <v>45597</v>
      </c>
      <c r="B806" t="s">
        <v>103</v>
      </c>
      <c r="C806" t="s">
        <v>93</v>
      </c>
      <c r="D806" t="s">
        <v>110</v>
      </c>
      <c r="E806">
        <v>21</v>
      </c>
      <c r="F806">
        <v>43</v>
      </c>
      <c r="G806">
        <v>100</v>
      </c>
      <c r="H806">
        <v>55</v>
      </c>
      <c r="I806" s="11">
        <v>4300</v>
      </c>
      <c r="J806" s="11">
        <v>2365</v>
      </c>
      <c r="K806" s="11">
        <v>1935</v>
      </c>
      <c r="L806" t="s">
        <v>88</v>
      </c>
      <c r="M806" t="s">
        <v>118</v>
      </c>
      <c r="N806" t="s">
        <v>122</v>
      </c>
    </row>
    <row r="807" spans="1:14">
      <c r="A807" s="20">
        <v>45423</v>
      </c>
      <c r="B807" t="s">
        <v>103</v>
      </c>
      <c r="C807" t="s">
        <v>94</v>
      </c>
      <c r="D807" t="s">
        <v>111</v>
      </c>
      <c r="E807">
        <v>39</v>
      </c>
      <c r="F807">
        <v>84</v>
      </c>
      <c r="G807">
        <v>80</v>
      </c>
      <c r="H807">
        <v>45</v>
      </c>
      <c r="I807" s="11">
        <v>6720</v>
      </c>
      <c r="J807" s="11">
        <v>3780</v>
      </c>
      <c r="K807" s="11">
        <v>2940</v>
      </c>
      <c r="L807" t="s">
        <v>82</v>
      </c>
      <c r="M807" t="s">
        <v>116</v>
      </c>
      <c r="N807" t="s">
        <v>125</v>
      </c>
    </row>
    <row r="808" spans="1:14">
      <c r="A808" s="20">
        <v>45544</v>
      </c>
      <c r="B808" t="s">
        <v>103</v>
      </c>
      <c r="C808" t="s">
        <v>93</v>
      </c>
      <c r="D808" t="s">
        <v>111</v>
      </c>
      <c r="E808">
        <v>34</v>
      </c>
      <c r="F808">
        <v>72</v>
      </c>
      <c r="G808">
        <v>100</v>
      </c>
      <c r="H808">
        <v>55</v>
      </c>
      <c r="I808" s="11">
        <v>7200</v>
      </c>
      <c r="J808" s="11">
        <v>3960</v>
      </c>
      <c r="K808" s="11">
        <v>3240</v>
      </c>
      <c r="L808" t="s">
        <v>86</v>
      </c>
      <c r="M808" t="s">
        <v>117</v>
      </c>
      <c r="N808" t="s">
        <v>124</v>
      </c>
    </row>
    <row r="809" spans="1:14">
      <c r="A809" s="20">
        <v>45437</v>
      </c>
      <c r="B809" t="s">
        <v>106</v>
      </c>
      <c r="C809" t="s">
        <v>94</v>
      </c>
      <c r="D809" t="s">
        <v>111</v>
      </c>
      <c r="E809">
        <v>35</v>
      </c>
      <c r="F809">
        <v>80</v>
      </c>
      <c r="G809">
        <v>80</v>
      </c>
      <c r="H809">
        <v>45</v>
      </c>
      <c r="I809" s="11">
        <v>6400</v>
      </c>
      <c r="J809" s="11">
        <v>3600</v>
      </c>
      <c r="K809" s="11">
        <v>2800</v>
      </c>
      <c r="L809" t="s">
        <v>82</v>
      </c>
      <c r="M809" t="s">
        <v>116</v>
      </c>
      <c r="N809" t="s">
        <v>124</v>
      </c>
    </row>
    <row r="810" spans="1:14">
      <c r="A810" s="20">
        <v>45308</v>
      </c>
      <c r="B810" t="s">
        <v>103</v>
      </c>
      <c r="C810" t="s">
        <v>96</v>
      </c>
      <c r="D810" t="s">
        <v>110</v>
      </c>
      <c r="E810">
        <v>21</v>
      </c>
      <c r="F810">
        <v>50</v>
      </c>
      <c r="G810">
        <v>90</v>
      </c>
      <c r="H810">
        <v>50</v>
      </c>
      <c r="I810" s="11">
        <v>4500</v>
      </c>
      <c r="J810" s="11">
        <v>2500</v>
      </c>
      <c r="K810" s="11">
        <v>2000</v>
      </c>
      <c r="L810" t="s">
        <v>78</v>
      </c>
      <c r="M810" t="s">
        <v>115</v>
      </c>
      <c r="N810" t="s">
        <v>122</v>
      </c>
    </row>
    <row r="811" spans="1:14">
      <c r="A811" s="20">
        <v>45321</v>
      </c>
      <c r="B811" t="s">
        <v>104</v>
      </c>
      <c r="C811" t="s">
        <v>94</v>
      </c>
      <c r="D811" t="s">
        <v>111</v>
      </c>
      <c r="E811">
        <v>21</v>
      </c>
      <c r="F811">
        <v>39</v>
      </c>
      <c r="G811">
        <v>80</v>
      </c>
      <c r="H811">
        <v>45</v>
      </c>
      <c r="I811" s="11">
        <v>3120</v>
      </c>
      <c r="J811" s="11">
        <v>1755</v>
      </c>
      <c r="K811" s="11">
        <v>1365</v>
      </c>
      <c r="L811" t="s">
        <v>78</v>
      </c>
      <c r="M811" t="s">
        <v>115</v>
      </c>
      <c r="N811" t="s">
        <v>122</v>
      </c>
    </row>
    <row r="812" spans="1:14">
      <c r="A812" s="20">
        <v>45309</v>
      </c>
      <c r="B812" t="s">
        <v>103</v>
      </c>
      <c r="C812" t="s">
        <v>93</v>
      </c>
      <c r="D812" t="s">
        <v>111</v>
      </c>
      <c r="E812">
        <v>24</v>
      </c>
      <c r="F812">
        <v>35</v>
      </c>
      <c r="G812">
        <v>100</v>
      </c>
      <c r="H812">
        <v>55</v>
      </c>
      <c r="I812" s="11">
        <v>3500</v>
      </c>
      <c r="J812" s="11">
        <v>1925</v>
      </c>
      <c r="K812" s="11">
        <v>1575</v>
      </c>
      <c r="L812" t="s">
        <v>78</v>
      </c>
      <c r="M812" t="s">
        <v>115</v>
      </c>
      <c r="N812" t="s">
        <v>122</v>
      </c>
    </row>
    <row r="813" spans="1:14">
      <c r="A813" s="20">
        <v>45381</v>
      </c>
      <c r="B813" t="s">
        <v>105</v>
      </c>
      <c r="C813" t="s">
        <v>94</v>
      </c>
      <c r="D813" t="s">
        <v>110</v>
      </c>
      <c r="E813">
        <v>34</v>
      </c>
      <c r="F813">
        <v>135</v>
      </c>
      <c r="G813">
        <v>80</v>
      </c>
      <c r="H813">
        <v>45</v>
      </c>
      <c r="I813" s="11">
        <v>10800</v>
      </c>
      <c r="J813" s="11">
        <v>6075</v>
      </c>
      <c r="K813" s="11">
        <v>4725</v>
      </c>
      <c r="L813" t="s">
        <v>80</v>
      </c>
      <c r="M813" t="s">
        <v>115</v>
      </c>
      <c r="N813" t="s">
        <v>124</v>
      </c>
    </row>
    <row r="814" spans="1:14">
      <c r="A814" s="20">
        <v>45392</v>
      </c>
      <c r="B814" t="s">
        <v>106</v>
      </c>
      <c r="C814" t="s">
        <v>93</v>
      </c>
      <c r="D814" t="s">
        <v>110</v>
      </c>
      <c r="E814">
        <v>41</v>
      </c>
      <c r="F814">
        <v>82</v>
      </c>
      <c r="G814">
        <v>100</v>
      </c>
      <c r="H814">
        <v>55</v>
      </c>
      <c r="I814" s="11">
        <v>8200</v>
      </c>
      <c r="J814" s="11">
        <v>4510</v>
      </c>
      <c r="K814" s="11">
        <v>3690</v>
      </c>
      <c r="L814" t="s">
        <v>81</v>
      </c>
      <c r="M814" t="s">
        <v>116</v>
      </c>
      <c r="N814" t="s">
        <v>125</v>
      </c>
    </row>
    <row r="815" spans="1:14">
      <c r="A815" s="20">
        <v>45520</v>
      </c>
      <c r="B815" t="s">
        <v>105</v>
      </c>
      <c r="C815" t="s">
        <v>95</v>
      </c>
      <c r="D815" t="s">
        <v>110</v>
      </c>
      <c r="E815">
        <v>32</v>
      </c>
      <c r="F815">
        <v>50</v>
      </c>
      <c r="G815">
        <v>110</v>
      </c>
      <c r="H815">
        <v>60</v>
      </c>
      <c r="I815" s="11">
        <v>5500</v>
      </c>
      <c r="J815" s="11">
        <v>3000</v>
      </c>
      <c r="K815" s="11">
        <v>2500</v>
      </c>
      <c r="L815" t="s">
        <v>85</v>
      </c>
      <c r="M815" t="s">
        <v>117</v>
      </c>
      <c r="N815" t="s">
        <v>124</v>
      </c>
    </row>
    <row r="816" spans="1:14">
      <c r="A816" s="20">
        <v>45320</v>
      </c>
      <c r="B816" t="s">
        <v>103</v>
      </c>
      <c r="C816" t="s">
        <v>93</v>
      </c>
      <c r="D816" t="s">
        <v>110</v>
      </c>
      <c r="E816">
        <v>22</v>
      </c>
      <c r="F816">
        <v>48</v>
      </c>
      <c r="G816">
        <v>100</v>
      </c>
      <c r="H816">
        <v>55</v>
      </c>
      <c r="I816" s="11">
        <v>4800</v>
      </c>
      <c r="J816" s="11">
        <v>2640</v>
      </c>
      <c r="K816" s="11">
        <v>2160</v>
      </c>
      <c r="L816" t="s">
        <v>78</v>
      </c>
      <c r="M816" t="s">
        <v>115</v>
      </c>
      <c r="N816" t="s">
        <v>122</v>
      </c>
    </row>
    <row r="817" spans="1:14">
      <c r="A817" s="20">
        <v>45463</v>
      </c>
      <c r="B817" t="s">
        <v>104</v>
      </c>
      <c r="C817" t="s">
        <v>94</v>
      </c>
      <c r="D817" t="s">
        <v>112</v>
      </c>
      <c r="E817">
        <v>41</v>
      </c>
      <c r="F817">
        <v>157</v>
      </c>
      <c r="G817">
        <v>80</v>
      </c>
      <c r="H817">
        <v>45</v>
      </c>
      <c r="I817" s="11">
        <v>12560</v>
      </c>
      <c r="J817" s="11">
        <v>7065</v>
      </c>
      <c r="K817" s="11">
        <v>5495</v>
      </c>
      <c r="L817" t="s">
        <v>83</v>
      </c>
      <c r="M817" t="s">
        <v>116</v>
      </c>
      <c r="N817" t="s">
        <v>125</v>
      </c>
    </row>
    <row r="818" spans="1:14">
      <c r="A818" s="20">
        <v>45302</v>
      </c>
      <c r="B818" t="s">
        <v>104</v>
      </c>
      <c r="C818" t="s">
        <v>98</v>
      </c>
      <c r="D818" t="s">
        <v>110</v>
      </c>
      <c r="E818">
        <v>25</v>
      </c>
      <c r="F818">
        <v>38</v>
      </c>
      <c r="G818">
        <v>100</v>
      </c>
      <c r="H818">
        <v>55</v>
      </c>
      <c r="I818" s="11">
        <v>3800</v>
      </c>
      <c r="J818" s="11">
        <v>2090</v>
      </c>
      <c r="K818" s="11">
        <v>1710</v>
      </c>
      <c r="L818" t="s">
        <v>78</v>
      </c>
      <c r="M818" t="s">
        <v>115</v>
      </c>
      <c r="N818" t="s">
        <v>123</v>
      </c>
    </row>
    <row r="819" spans="1:14">
      <c r="A819" s="20">
        <v>45313</v>
      </c>
      <c r="B819" t="s">
        <v>106</v>
      </c>
      <c r="C819" t="s">
        <v>94</v>
      </c>
      <c r="D819" t="s">
        <v>110</v>
      </c>
      <c r="E819">
        <v>24</v>
      </c>
      <c r="F819">
        <v>30</v>
      </c>
      <c r="G819">
        <v>80</v>
      </c>
      <c r="H819">
        <v>45</v>
      </c>
      <c r="I819" s="11">
        <v>2400</v>
      </c>
      <c r="J819" s="11">
        <v>1350</v>
      </c>
      <c r="K819" s="11">
        <v>1050</v>
      </c>
      <c r="L819" t="s">
        <v>78</v>
      </c>
      <c r="M819" t="s">
        <v>115</v>
      </c>
      <c r="N819" t="s">
        <v>122</v>
      </c>
    </row>
    <row r="820" spans="1:14">
      <c r="A820" s="20">
        <v>45542</v>
      </c>
      <c r="B820" t="s">
        <v>104</v>
      </c>
      <c r="C820" t="s">
        <v>97</v>
      </c>
      <c r="D820" t="s">
        <v>111</v>
      </c>
      <c r="E820">
        <v>32</v>
      </c>
      <c r="F820">
        <v>80</v>
      </c>
      <c r="G820">
        <v>130</v>
      </c>
      <c r="H820">
        <v>70</v>
      </c>
      <c r="I820" s="11">
        <v>10400</v>
      </c>
      <c r="J820" s="11">
        <v>5600</v>
      </c>
      <c r="K820" s="11">
        <v>4800</v>
      </c>
      <c r="L820" t="s">
        <v>86</v>
      </c>
      <c r="M820" t="s">
        <v>117</v>
      </c>
      <c r="N820" t="s">
        <v>124</v>
      </c>
    </row>
    <row r="821" spans="1:14">
      <c r="A821" s="20">
        <v>45556</v>
      </c>
      <c r="B821" t="s">
        <v>106</v>
      </c>
      <c r="C821" t="s">
        <v>94</v>
      </c>
      <c r="D821" t="s">
        <v>111</v>
      </c>
      <c r="E821">
        <v>30</v>
      </c>
      <c r="F821">
        <v>98</v>
      </c>
      <c r="G821">
        <v>80</v>
      </c>
      <c r="H821">
        <v>45</v>
      </c>
      <c r="I821" s="11">
        <v>7840</v>
      </c>
      <c r="J821" s="11">
        <v>4410</v>
      </c>
      <c r="K821" s="11">
        <v>3430</v>
      </c>
      <c r="L821" t="s">
        <v>86</v>
      </c>
      <c r="M821" t="s">
        <v>117</v>
      </c>
      <c r="N821" t="s">
        <v>123</v>
      </c>
    </row>
    <row r="822" spans="1:14">
      <c r="A822" s="20">
        <v>45621</v>
      </c>
      <c r="B822" t="s">
        <v>104</v>
      </c>
      <c r="C822" t="s">
        <v>96</v>
      </c>
      <c r="D822" t="s">
        <v>111</v>
      </c>
      <c r="E822">
        <v>20</v>
      </c>
      <c r="F822">
        <v>56</v>
      </c>
      <c r="G822">
        <v>90</v>
      </c>
      <c r="H822">
        <v>50</v>
      </c>
      <c r="I822" s="11">
        <v>5040</v>
      </c>
      <c r="J822" s="11">
        <v>2800</v>
      </c>
      <c r="K822" s="11">
        <v>2240</v>
      </c>
      <c r="L822" t="s">
        <v>88</v>
      </c>
      <c r="M822" t="s">
        <v>118</v>
      </c>
      <c r="N822" t="s">
        <v>122</v>
      </c>
    </row>
    <row r="823" spans="1:14">
      <c r="A823" s="20">
        <v>45630</v>
      </c>
      <c r="B823" t="s">
        <v>103</v>
      </c>
      <c r="C823" t="s">
        <v>95</v>
      </c>
      <c r="D823" t="s">
        <v>111</v>
      </c>
      <c r="E823">
        <v>23</v>
      </c>
      <c r="F823">
        <v>21</v>
      </c>
      <c r="G823">
        <v>110</v>
      </c>
      <c r="H823">
        <v>60</v>
      </c>
      <c r="I823" s="11">
        <v>2310</v>
      </c>
      <c r="J823" s="11">
        <v>1260</v>
      </c>
      <c r="K823" s="11">
        <v>1050</v>
      </c>
      <c r="L823" t="s">
        <v>89</v>
      </c>
      <c r="M823" t="s">
        <v>118</v>
      </c>
      <c r="N823" t="s">
        <v>122</v>
      </c>
    </row>
    <row r="824" spans="1:14">
      <c r="A824" s="20">
        <v>45368</v>
      </c>
      <c r="B824" t="s">
        <v>106</v>
      </c>
      <c r="C824" t="s">
        <v>97</v>
      </c>
      <c r="D824" t="s">
        <v>110</v>
      </c>
      <c r="E824">
        <v>35</v>
      </c>
      <c r="F824">
        <v>171</v>
      </c>
      <c r="G824">
        <v>130</v>
      </c>
      <c r="H824">
        <v>70</v>
      </c>
      <c r="I824" s="11">
        <v>22230</v>
      </c>
      <c r="J824" s="11">
        <v>11970</v>
      </c>
      <c r="K824" s="11">
        <v>10260</v>
      </c>
      <c r="L824" t="s">
        <v>80</v>
      </c>
      <c r="M824" t="s">
        <v>115</v>
      </c>
      <c r="N824" t="s">
        <v>124</v>
      </c>
    </row>
    <row r="825" spans="1:14">
      <c r="A825" s="20">
        <v>45466</v>
      </c>
      <c r="B825" t="s">
        <v>103</v>
      </c>
      <c r="C825" t="s">
        <v>96</v>
      </c>
      <c r="D825" t="s">
        <v>110</v>
      </c>
      <c r="E825">
        <v>34</v>
      </c>
      <c r="F825">
        <v>136</v>
      </c>
      <c r="G825">
        <v>90</v>
      </c>
      <c r="H825">
        <v>50</v>
      </c>
      <c r="I825" s="11">
        <v>12240</v>
      </c>
      <c r="J825" s="11">
        <v>6800</v>
      </c>
      <c r="K825" s="11">
        <v>5440</v>
      </c>
      <c r="L825" t="s">
        <v>83</v>
      </c>
      <c r="M825" t="s">
        <v>116</v>
      </c>
      <c r="N825" t="s">
        <v>124</v>
      </c>
    </row>
    <row r="826" spans="1:14">
      <c r="A826" s="20">
        <v>45300</v>
      </c>
      <c r="B826" t="s">
        <v>106</v>
      </c>
      <c r="C826" t="s">
        <v>96</v>
      </c>
      <c r="D826" t="s">
        <v>110</v>
      </c>
      <c r="E826">
        <v>24</v>
      </c>
      <c r="F826">
        <v>24</v>
      </c>
      <c r="G826">
        <v>90</v>
      </c>
      <c r="H826">
        <v>50</v>
      </c>
      <c r="I826" s="11">
        <v>2160</v>
      </c>
      <c r="J826" s="11">
        <v>1200</v>
      </c>
      <c r="K826" s="11">
        <v>960</v>
      </c>
      <c r="L826" t="s">
        <v>78</v>
      </c>
      <c r="M826" t="s">
        <v>115</v>
      </c>
      <c r="N826" t="s">
        <v>122</v>
      </c>
    </row>
    <row r="827" spans="1:14">
      <c r="A827" s="20">
        <v>45393</v>
      </c>
      <c r="B827" t="s">
        <v>106</v>
      </c>
      <c r="C827" t="s">
        <v>98</v>
      </c>
      <c r="D827" t="s">
        <v>111</v>
      </c>
      <c r="E827">
        <v>41</v>
      </c>
      <c r="F827">
        <v>50</v>
      </c>
      <c r="G827">
        <v>100</v>
      </c>
      <c r="H827">
        <v>55</v>
      </c>
      <c r="I827" s="11">
        <v>5000</v>
      </c>
      <c r="J827" s="11">
        <v>2750</v>
      </c>
      <c r="K827" s="11">
        <v>2250</v>
      </c>
      <c r="L827" t="s">
        <v>81</v>
      </c>
      <c r="M827" t="s">
        <v>116</v>
      </c>
      <c r="N827" t="s">
        <v>125</v>
      </c>
    </row>
    <row r="828" spans="1:14">
      <c r="A828" s="20">
        <v>45499</v>
      </c>
      <c r="B828" t="s">
        <v>103</v>
      </c>
      <c r="C828" t="s">
        <v>98</v>
      </c>
      <c r="D828" t="s">
        <v>110</v>
      </c>
      <c r="E828">
        <v>34</v>
      </c>
      <c r="F828">
        <v>41</v>
      </c>
      <c r="G828">
        <v>100</v>
      </c>
      <c r="H828">
        <v>55</v>
      </c>
      <c r="I828" s="11">
        <v>4100</v>
      </c>
      <c r="J828" s="11">
        <v>2255</v>
      </c>
      <c r="K828" s="11">
        <v>1845</v>
      </c>
      <c r="L828" t="s">
        <v>84</v>
      </c>
      <c r="M828" t="s">
        <v>117</v>
      </c>
      <c r="N828" t="s">
        <v>124</v>
      </c>
    </row>
    <row r="829" spans="1:14">
      <c r="A829" s="20">
        <v>45479</v>
      </c>
      <c r="B829" t="s">
        <v>104</v>
      </c>
      <c r="C829" t="s">
        <v>94</v>
      </c>
      <c r="D829" t="s">
        <v>110</v>
      </c>
      <c r="E829">
        <v>31</v>
      </c>
      <c r="F829">
        <v>52</v>
      </c>
      <c r="G829">
        <v>80</v>
      </c>
      <c r="H829">
        <v>45</v>
      </c>
      <c r="I829" s="11">
        <v>4160</v>
      </c>
      <c r="J829" s="11">
        <v>2340</v>
      </c>
      <c r="K829" s="11">
        <v>1820</v>
      </c>
      <c r="L829" t="s">
        <v>84</v>
      </c>
      <c r="M829" t="s">
        <v>117</v>
      </c>
      <c r="N829" t="s">
        <v>124</v>
      </c>
    </row>
    <row r="830" spans="1:14">
      <c r="A830" s="20">
        <v>45316</v>
      </c>
      <c r="B830" t="s">
        <v>104</v>
      </c>
      <c r="C830" t="s">
        <v>94</v>
      </c>
      <c r="D830" t="s">
        <v>111</v>
      </c>
      <c r="E830">
        <v>26</v>
      </c>
      <c r="F830">
        <v>27</v>
      </c>
      <c r="G830">
        <v>80</v>
      </c>
      <c r="H830">
        <v>45</v>
      </c>
      <c r="I830" s="11">
        <v>2160</v>
      </c>
      <c r="J830" s="11">
        <v>1215</v>
      </c>
      <c r="K830" s="11">
        <v>945</v>
      </c>
      <c r="L830" t="s">
        <v>78</v>
      </c>
      <c r="M830" t="s">
        <v>115</v>
      </c>
      <c r="N830" t="s">
        <v>123</v>
      </c>
    </row>
    <row r="831" spans="1:14">
      <c r="A831" s="20">
        <v>45383</v>
      </c>
      <c r="B831" t="s">
        <v>104</v>
      </c>
      <c r="C831" t="s">
        <v>96</v>
      </c>
      <c r="D831" t="s">
        <v>110</v>
      </c>
      <c r="E831">
        <v>40</v>
      </c>
      <c r="F831">
        <v>117</v>
      </c>
      <c r="G831">
        <v>90</v>
      </c>
      <c r="H831">
        <v>50</v>
      </c>
      <c r="I831" s="11">
        <v>10530</v>
      </c>
      <c r="J831" s="11">
        <v>5850</v>
      </c>
      <c r="K831" s="11">
        <v>4680</v>
      </c>
      <c r="L831" t="s">
        <v>81</v>
      </c>
      <c r="M831" t="s">
        <v>116</v>
      </c>
      <c r="N831" t="s">
        <v>125</v>
      </c>
    </row>
    <row r="832" spans="1:14">
      <c r="A832" s="20">
        <v>45614</v>
      </c>
      <c r="B832" t="s">
        <v>104</v>
      </c>
      <c r="C832" t="s">
        <v>97</v>
      </c>
      <c r="D832" t="s">
        <v>112</v>
      </c>
      <c r="E832">
        <v>22</v>
      </c>
      <c r="F832">
        <v>48</v>
      </c>
      <c r="G832">
        <v>130</v>
      </c>
      <c r="H832">
        <v>70</v>
      </c>
      <c r="I832" s="11">
        <v>6240</v>
      </c>
      <c r="J832" s="11">
        <v>3360</v>
      </c>
      <c r="K832" s="11">
        <v>2880</v>
      </c>
      <c r="L832" t="s">
        <v>88</v>
      </c>
      <c r="M832" t="s">
        <v>118</v>
      </c>
      <c r="N832" t="s">
        <v>122</v>
      </c>
    </row>
    <row r="833" spans="1:14">
      <c r="A833" s="20">
        <v>45316</v>
      </c>
      <c r="B833" t="s">
        <v>105</v>
      </c>
      <c r="C833" t="s">
        <v>94</v>
      </c>
      <c r="D833" t="s">
        <v>110</v>
      </c>
      <c r="E833">
        <v>24</v>
      </c>
      <c r="F833">
        <v>19</v>
      </c>
      <c r="G833">
        <v>80</v>
      </c>
      <c r="H833">
        <v>45</v>
      </c>
      <c r="I833" s="11">
        <v>1520</v>
      </c>
      <c r="J833" s="11">
        <v>855</v>
      </c>
      <c r="K833" s="11">
        <v>665</v>
      </c>
      <c r="L833" t="s">
        <v>78</v>
      </c>
      <c r="M833" t="s">
        <v>115</v>
      </c>
      <c r="N833" t="s">
        <v>122</v>
      </c>
    </row>
    <row r="834" spans="1:14">
      <c r="A834" s="20">
        <v>45592</v>
      </c>
      <c r="B834" t="s">
        <v>106</v>
      </c>
      <c r="C834" t="s">
        <v>93</v>
      </c>
      <c r="D834" t="s">
        <v>110</v>
      </c>
      <c r="E834">
        <v>28</v>
      </c>
      <c r="F834">
        <v>84</v>
      </c>
      <c r="G834">
        <v>100</v>
      </c>
      <c r="H834">
        <v>55</v>
      </c>
      <c r="I834" s="11">
        <v>8400</v>
      </c>
      <c r="J834" s="11">
        <v>4620</v>
      </c>
      <c r="K834" s="11">
        <v>3780</v>
      </c>
      <c r="L834" t="s">
        <v>87</v>
      </c>
      <c r="M834" t="s">
        <v>118</v>
      </c>
      <c r="N834" t="s">
        <v>123</v>
      </c>
    </row>
    <row r="835" spans="1:14">
      <c r="A835" s="20">
        <v>45326</v>
      </c>
      <c r="B835" t="s">
        <v>105</v>
      </c>
      <c r="C835" t="s">
        <v>93</v>
      </c>
      <c r="D835" t="s">
        <v>112</v>
      </c>
      <c r="E835">
        <v>33</v>
      </c>
      <c r="F835">
        <v>74</v>
      </c>
      <c r="G835">
        <v>100</v>
      </c>
      <c r="H835">
        <v>55</v>
      </c>
      <c r="I835" s="11">
        <v>7400</v>
      </c>
      <c r="J835" s="11">
        <v>4070</v>
      </c>
      <c r="K835" s="11">
        <v>3330</v>
      </c>
      <c r="L835" t="s">
        <v>79</v>
      </c>
      <c r="M835" t="s">
        <v>115</v>
      </c>
      <c r="N835" t="s">
        <v>124</v>
      </c>
    </row>
    <row r="836" spans="1:14">
      <c r="A836" s="20">
        <v>45524</v>
      </c>
      <c r="B836" t="s">
        <v>105</v>
      </c>
      <c r="C836" t="s">
        <v>96</v>
      </c>
      <c r="D836" t="s">
        <v>111</v>
      </c>
      <c r="E836">
        <v>31</v>
      </c>
      <c r="F836">
        <v>85</v>
      </c>
      <c r="G836">
        <v>90</v>
      </c>
      <c r="H836">
        <v>50</v>
      </c>
      <c r="I836" s="11">
        <v>7650</v>
      </c>
      <c r="J836" s="11">
        <v>4250</v>
      </c>
      <c r="K836" s="11">
        <v>3400</v>
      </c>
      <c r="L836" t="s">
        <v>85</v>
      </c>
      <c r="M836" t="s">
        <v>117</v>
      </c>
      <c r="N836" t="s">
        <v>124</v>
      </c>
    </row>
    <row r="837" spans="1:14">
      <c r="A837" s="20">
        <v>45566</v>
      </c>
      <c r="B837" t="s">
        <v>105</v>
      </c>
      <c r="C837" t="s">
        <v>93</v>
      </c>
      <c r="D837" t="s">
        <v>110</v>
      </c>
      <c r="E837">
        <v>26</v>
      </c>
      <c r="F837">
        <v>88</v>
      </c>
      <c r="G837">
        <v>100</v>
      </c>
      <c r="H837">
        <v>55</v>
      </c>
      <c r="I837" s="11">
        <v>8800</v>
      </c>
      <c r="J837" s="11">
        <v>4840</v>
      </c>
      <c r="K837" s="11">
        <v>3960</v>
      </c>
      <c r="L837" t="s">
        <v>87</v>
      </c>
      <c r="M837" t="s">
        <v>118</v>
      </c>
      <c r="N837" t="s">
        <v>123</v>
      </c>
    </row>
    <row r="838" spans="1:14">
      <c r="A838" s="20">
        <v>45319</v>
      </c>
      <c r="B838" t="s">
        <v>106</v>
      </c>
      <c r="C838" t="s">
        <v>98</v>
      </c>
      <c r="D838" t="s">
        <v>110</v>
      </c>
      <c r="E838">
        <v>20</v>
      </c>
      <c r="F838">
        <v>35</v>
      </c>
      <c r="G838">
        <v>100</v>
      </c>
      <c r="H838">
        <v>55</v>
      </c>
      <c r="I838" s="11">
        <v>3500</v>
      </c>
      <c r="J838" s="11">
        <v>1925</v>
      </c>
      <c r="K838" s="11">
        <v>1575</v>
      </c>
      <c r="L838" t="s">
        <v>78</v>
      </c>
      <c r="M838" t="s">
        <v>115</v>
      </c>
      <c r="N838" t="s">
        <v>122</v>
      </c>
    </row>
    <row r="839" spans="1:14">
      <c r="A839" s="20">
        <v>45389</v>
      </c>
      <c r="B839" t="s">
        <v>104</v>
      </c>
      <c r="C839" t="s">
        <v>95</v>
      </c>
      <c r="D839" t="s">
        <v>111</v>
      </c>
      <c r="E839">
        <v>38</v>
      </c>
      <c r="F839">
        <v>175</v>
      </c>
      <c r="G839">
        <v>110</v>
      </c>
      <c r="H839">
        <v>60</v>
      </c>
      <c r="I839" s="11">
        <v>19250</v>
      </c>
      <c r="J839" s="11">
        <v>10500</v>
      </c>
      <c r="K839" s="11">
        <v>8750</v>
      </c>
      <c r="L839" t="s">
        <v>81</v>
      </c>
      <c r="M839" t="s">
        <v>116</v>
      </c>
      <c r="N839" t="s">
        <v>125</v>
      </c>
    </row>
    <row r="840" spans="1:14">
      <c r="A840" s="20">
        <v>45601</v>
      </c>
      <c r="B840" t="s">
        <v>105</v>
      </c>
      <c r="C840" t="s">
        <v>94</v>
      </c>
      <c r="D840" t="s">
        <v>111</v>
      </c>
      <c r="E840">
        <v>25</v>
      </c>
      <c r="F840">
        <v>54</v>
      </c>
      <c r="G840">
        <v>80</v>
      </c>
      <c r="H840">
        <v>45</v>
      </c>
      <c r="I840" s="11">
        <v>4320</v>
      </c>
      <c r="J840" s="11">
        <v>2430</v>
      </c>
      <c r="K840" s="11">
        <v>1890</v>
      </c>
      <c r="L840" t="s">
        <v>88</v>
      </c>
      <c r="M840" t="s">
        <v>118</v>
      </c>
      <c r="N840" t="s">
        <v>123</v>
      </c>
    </row>
    <row r="841" spans="1:14">
      <c r="A841" s="20">
        <v>45527</v>
      </c>
      <c r="B841" t="s">
        <v>104</v>
      </c>
      <c r="C841" t="s">
        <v>95</v>
      </c>
      <c r="D841" t="s">
        <v>110</v>
      </c>
      <c r="E841">
        <v>34</v>
      </c>
      <c r="F841">
        <v>54</v>
      </c>
      <c r="G841">
        <v>110</v>
      </c>
      <c r="H841">
        <v>60</v>
      </c>
      <c r="I841" s="11">
        <v>5940</v>
      </c>
      <c r="J841" s="11">
        <v>3240</v>
      </c>
      <c r="K841" s="11">
        <v>2700</v>
      </c>
      <c r="L841" t="s">
        <v>85</v>
      </c>
      <c r="M841" t="s">
        <v>117</v>
      </c>
      <c r="N841" t="s">
        <v>124</v>
      </c>
    </row>
    <row r="842" spans="1:14">
      <c r="A842" s="20">
        <v>45356</v>
      </c>
      <c r="B842" t="s">
        <v>103</v>
      </c>
      <c r="C842" t="s">
        <v>93</v>
      </c>
      <c r="D842" t="s">
        <v>111</v>
      </c>
      <c r="E842">
        <v>38</v>
      </c>
      <c r="F842">
        <v>156</v>
      </c>
      <c r="G842">
        <v>100</v>
      </c>
      <c r="H842">
        <v>55</v>
      </c>
      <c r="I842" s="11">
        <v>15600</v>
      </c>
      <c r="J842" s="11">
        <v>8580</v>
      </c>
      <c r="K842" s="11">
        <v>7020</v>
      </c>
      <c r="L842" t="s">
        <v>80</v>
      </c>
      <c r="M842" t="s">
        <v>115</v>
      </c>
      <c r="N842" t="s">
        <v>125</v>
      </c>
    </row>
    <row r="843" spans="1:14">
      <c r="A843" s="20">
        <v>45643</v>
      </c>
      <c r="B843" t="s">
        <v>104</v>
      </c>
      <c r="C843" t="s">
        <v>93</v>
      </c>
      <c r="D843" t="s">
        <v>111</v>
      </c>
      <c r="E843">
        <v>22</v>
      </c>
      <c r="F843">
        <v>42</v>
      </c>
      <c r="G843">
        <v>100</v>
      </c>
      <c r="H843">
        <v>55</v>
      </c>
      <c r="I843" s="11">
        <v>4200</v>
      </c>
      <c r="J843" s="11">
        <v>2310</v>
      </c>
      <c r="K843" s="11">
        <v>1890</v>
      </c>
      <c r="L843" t="s">
        <v>89</v>
      </c>
      <c r="M843" t="s">
        <v>118</v>
      </c>
      <c r="N843" t="s">
        <v>122</v>
      </c>
    </row>
    <row r="844" spans="1:14">
      <c r="A844" s="20">
        <v>45604</v>
      </c>
      <c r="B844" t="s">
        <v>103</v>
      </c>
      <c r="C844" t="s">
        <v>94</v>
      </c>
      <c r="D844" t="s">
        <v>110</v>
      </c>
      <c r="E844">
        <v>20</v>
      </c>
      <c r="F844">
        <v>33</v>
      </c>
      <c r="G844">
        <v>80</v>
      </c>
      <c r="H844">
        <v>45</v>
      </c>
      <c r="I844" s="11">
        <v>2640</v>
      </c>
      <c r="J844" s="11">
        <v>1485</v>
      </c>
      <c r="K844" s="11">
        <v>1155</v>
      </c>
      <c r="L844" t="s">
        <v>88</v>
      </c>
      <c r="M844" t="s">
        <v>118</v>
      </c>
      <c r="N844" t="s">
        <v>122</v>
      </c>
    </row>
    <row r="845" spans="1:14">
      <c r="A845" s="20">
        <v>45594</v>
      </c>
      <c r="B845" t="s">
        <v>104</v>
      </c>
      <c r="C845" t="s">
        <v>94</v>
      </c>
      <c r="D845" t="s">
        <v>111</v>
      </c>
      <c r="E845">
        <v>34</v>
      </c>
      <c r="F845">
        <v>35</v>
      </c>
      <c r="G845">
        <v>80</v>
      </c>
      <c r="H845">
        <v>45</v>
      </c>
      <c r="I845" s="11">
        <v>2800</v>
      </c>
      <c r="J845" s="11">
        <v>1575</v>
      </c>
      <c r="K845" s="11">
        <v>1225</v>
      </c>
      <c r="L845" t="s">
        <v>87</v>
      </c>
      <c r="M845" t="s">
        <v>118</v>
      </c>
      <c r="N845" t="s">
        <v>124</v>
      </c>
    </row>
    <row r="846" spans="1:14">
      <c r="A846" s="20">
        <v>45536</v>
      </c>
      <c r="B846" t="s">
        <v>105</v>
      </c>
      <c r="C846" t="s">
        <v>96</v>
      </c>
      <c r="D846" t="s">
        <v>111</v>
      </c>
      <c r="E846">
        <v>26</v>
      </c>
      <c r="F846">
        <v>74</v>
      </c>
      <c r="G846">
        <v>90</v>
      </c>
      <c r="H846">
        <v>50</v>
      </c>
      <c r="I846" s="11">
        <v>6660</v>
      </c>
      <c r="J846" s="11">
        <v>3700</v>
      </c>
      <c r="K846" s="11">
        <v>2960</v>
      </c>
      <c r="L846" t="s">
        <v>86</v>
      </c>
      <c r="M846" t="s">
        <v>117</v>
      </c>
      <c r="N846" t="s">
        <v>123</v>
      </c>
    </row>
    <row r="847" spans="1:14">
      <c r="A847" s="20">
        <v>45634</v>
      </c>
      <c r="B847" t="s">
        <v>106</v>
      </c>
      <c r="C847" t="s">
        <v>93</v>
      </c>
      <c r="D847" t="s">
        <v>110</v>
      </c>
      <c r="E847">
        <v>26</v>
      </c>
      <c r="F847">
        <v>37</v>
      </c>
      <c r="G847">
        <v>100</v>
      </c>
      <c r="H847">
        <v>55</v>
      </c>
      <c r="I847" s="11">
        <v>3700</v>
      </c>
      <c r="J847" s="11">
        <v>2035</v>
      </c>
      <c r="K847" s="11">
        <v>1665</v>
      </c>
      <c r="L847" t="s">
        <v>89</v>
      </c>
      <c r="M847" t="s">
        <v>118</v>
      </c>
      <c r="N847" t="s">
        <v>123</v>
      </c>
    </row>
    <row r="848" spans="1:14">
      <c r="A848" s="20">
        <v>45316</v>
      </c>
      <c r="B848" t="s">
        <v>104</v>
      </c>
      <c r="C848" t="s">
        <v>93</v>
      </c>
      <c r="D848" t="s">
        <v>112</v>
      </c>
      <c r="E848">
        <v>23</v>
      </c>
      <c r="F848">
        <v>47</v>
      </c>
      <c r="G848">
        <v>100</v>
      </c>
      <c r="H848">
        <v>55</v>
      </c>
      <c r="I848" s="11">
        <v>4700</v>
      </c>
      <c r="J848" s="11">
        <v>2585</v>
      </c>
      <c r="K848" s="11">
        <v>2115</v>
      </c>
      <c r="L848" t="s">
        <v>78</v>
      </c>
      <c r="M848" t="s">
        <v>115</v>
      </c>
      <c r="N848" t="s">
        <v>122</v>
      </c>
    </row>
    <row r="849" spans="1:14">
      <c r="A849" s="20">
        <v>45366</v>
      </c>
      <c r="B849" t="s">
        <v>106</v>
      </c>
      <c r="C849" t="s">
        <v>96</v>
      </c>
      <c r="D849" t="s">
        <v>110</v>
      </c>
      <c r="E849">
        <v>32</v>
      </c>
      <c r="F849">
        <v>148</v>
      </c>
      <c r="G849">
        <v>90</v>
      </c>
      <c r="H849">
        <v>50</v>
      </c>
      <c r="I849" s="11">
        <v>13320</v>
      </c>
      <c r="J849" s="11">
        <v>7400</v>
      </c>
      <c r="K849" s="11">
        <v>5920</v>
      </c>
      <c r="L849" t="s">
        <v>80</v>
      </c>
      <c r="M849" t="s">
        <v>115</v>
      </c>
      <c r="N849" t="s">
        <v>124</v>
      </c>
    </row>
    <row r="850" spans="1:14">
      <c r="A850" s="20">
        <v>45443</v>
      </c>
      <c r="B850" t="s">
        <v>105</v>
      </c>
      <c r="C850" t="s">
        <v>94</v>
      </c>
      <c r="D850" t="s">
        <v>110</v>
      </c>
      <c r="E850">
        <v>34</v>
      </c>
      <c r="F850">
        <v>137</v>
      </c>
      <c r="G850">
        <v>80</v>
      </c>
      <c r="H850">
        <v>45</v>
      </c>
      <c r="I850" s="11">
        <v>10960</v>
      </c>
      <c r="J850" s="11">
        <v>6165</v>
      </c>
      <c r="K850" s="11">
        <v>4795</v>
      </c>
      <c r="L850" t="s">
        <v>82</v>
      </c>
      <c r="M850" t="s">
        <v>116</v>
      </c>
      <c r="N850" t="s">
        <v>124</v>
      </c>
    </row>
    <row r="851" spans="1:14">
      <c r="A851" s="20">
        <v>45481</v>
      </c>
      <c r="B851" t="s">
        <v>103</v>
      </c>
      <c r="C851" t="s">
        <v>96</v>
      </c>
      <c r="D851" t="s">
        <v>110</v>
      </c>
      <c r="E851">
        <v>27</v>
      </c>
      <c r="F851">
        <v>45</v>
      </c>
      <c r="G851">
        <v>90</v>
      </c>
      <c r="H851">
        <v>50</v>
      </c>
      <c r="I851" s="11">
        <v>4050</v>
      </c>
      <c r="J851" s="11">
        <v>2250</v>
      </c>
      <c r="K851" s="11">
        <v>1800</v>
      </c>
      <c r="L851" t="s">
        <v>84</v>
      </c>
      <c r="M851" t="s">
        <v>117</v>
      </c>
      <c r="N851" t="s">
        <v>123</v>
      </c>
    </row>
    <row r="852" spans="1:14">
      <c r="A852" s="20">
        <v>45512</v>
      </c>
      <c r="B852" t="s">
        <v>104</v>
      </c>
      <c r="C852" t="s">
        <v>98</v>
      </c>
      <c r="D852" t="s">
        <v>111</v>
      </c>
      <c r="E852">
        <v>26</v>
      </c>
      <c r="F852">
        <v>102</v>
      </c>
      <c r="G852">
        <v>100</v>
      </c>
      <c r="H852">
        <v>55</v>
      </c>
      <c r="I852" s="11">
        <v>10200</v>
      </c>
      <c r="J852" s="11">
        <v>5610</v>
      </c>
      <c r="K852" s="11">
        <v>4590</v>
      </c>
      <c r="L852" t="s">
        <v>85</v>
      </c>
      <c r="M852" t="s">
        <v>117</v>
      </c>
      <c r="N852" t="s">
        <v>123</v>
      </c>
    </row>
    <row r="853" spans="1:14">
      <c r="A853" s="20">
        <v>45333</v>
      </c>
      <c r="B853" t="s">
        <v>103</v>
      </c>
      <c r="C853" t="s">
        <v>94</v>
      </c>
      <c r="D853" t="s">
        <v>110</v>
      </c>
      <c r="E853">
        <v>27</v>
      </c>
      <c r="F853">
        <v>84</v>
      </c>
      <c r="G853">
        <v>80</v>
      </c>
      <c r="H853">
        <v>45</v>
      </c>
      <c r="I853" s="11">
        <v>6720</v>
      </c>
      <c r="J853" s="11">
        <v>3780</v>
      </c>
      <c r="K853" s="11">
        <v>2940</v>
      </c>
      <c r="L853" t="s">
        <v>79</v>
      </c>
      <c r="M853" t="s">
        <v>115</v>
      </c>
      <c r="N853" t="s">
        <v>123</v>
      </c>
    </row>
    <row r="854" spans="1:14">
      <c r="A854" s="20">
        <v>45325</v>
      </c>
      <c r="B854" t="s">
        <v>104</v>
      </c>
      <c r="C854" t="s">
        <v>93</v>
      </c>
      <c r="D854" t="s">
        <v>111</v>
      </c>
      <c r="E854">
        <v>34</v>
      </c>
      <c r="F854">
        <v>99</v>
      </c>
      <c r="G854">
        <v>100</v>
      </c>
      <c r="H854">
        <v>55</v>
      </c>
      <c r="I854" s="11">
        <v>9900</v>
      </c>
      <c r="J854" s="11">
        <v>5445</v>
      </c>
      <c r="K854" s="11">
        <v>4455</v>
      </c>
      <c r="L854" t="s">
        <v>79</v>
      </c>
      <c r="M854" t="s">
        <v>115</v>
      </c>
      <c r="N854" t="s">
        <v>124</v>
      </c>
    </row>
    <row r="855" spans="1:14">
      <c r="A855" s="20">
        <v>45339</v>
      </c>
      <c r="B855" t="s">
        <v>105</v>
      </c>
      <c r="C855" t="s">
        <v>94</v>
      </c>
      <c r="D855" t="s">
        <v>111</v>
      </c>
      <c r="E855">
        <v>33</v>
      </c>
      <c r="F855">
        <v>47</v>
      </c>
      <c r="G855">
        <v>80</v>
      </c>
      <c r="H855">
        <v>45</v>
      </c>
      <c r="I855" s="11">
        <v>3760</v>
      </c>
      <c r="J855" s="11">
        <v>2115</v>
      </c>
      <c r="K855" s="11">
        <v>1645</v>
      </c>
      <c r="L855" t="s">
        <v>79</v>
      </c>
      <c r="M855" t="s">
        <v>115</v>
      </c>
      <c r="N855" t="s">
        <v>124</v>
      </c>
    </row>
    <row r="856" spans="1:14">
      <c r="A856" s="20">
        <v>45535</v>
      </c>
      <c r="B856" t="s">
        <v>105</v>
      </c>
      <c r="C856" t="s">
        <v>93</v>
      </c>
      <c r="D856" t="s">
        <v>110</v>
      </c>
      <c r="E856">
        <v>34</v>
      </c>
      <c r="F856">
        <v>69</v>
      </c>
      <c r="G856">
        <v>100</v>
      </c>
      <c r="H856">
        <v>55</v>
      </c>
      <c r="I856" s="11">
        <v>6900</v>
      </c>
      <c r="J856" s="11">
        <v>3795</v>
      </c>
      <c r="K856" s="11">
        <v>3105</v>
      </c>
      <c r="L856" t="s">
        <v>85</v>
      </c>
      <c r="M856" t="s">
        <v>117</v>
      </c>
      <c r="N856" t="s">
        <v>124</v>
      </c>
    </row>
    <row r="857" spans="1:14">
      <c r="A857" s="20">
        <v>45400</v>
      </c>
      <c r="B857" t="s">
        <v>106</v>
      </c>
      <c r="C857" t="s">
        <v>95</v>
      </c>
      <c r="D857" t="s">
        <v>110</v>
      </c>
      <c r="E857">
        <v>40</v>
      </c>
      <c r="F857">
        <v>148</v>
      </c>
      <c r="G857">
        <v>110</v>
      </c>
      <c r="H857">
        <v>60</v>
      </c>
      <c r="I857" s="11">
        <v>16280</v>
      </c>
      <c r="J857" s="11">
        <v>8880</v>
      </c>
      <c r="K857" s="11">
        <v>7400</v>
      </c>
      <c r="L857" t="s">
        <v>81</v>
      </c>
      <c r="M857" t="s">
        <v>116</v>
      </c>
      <c r="N857" t="s">
        <v>125</v>
      </c>
    </row>
    <row r="858" spans="1:14">
      <c r="A858" s="20">
        <v>45599</v>
      </c>
      <c r="B858" t="s">
        <v>105</v>
      </c>
      <c r="C858" t="s">
        <v>95</v>
      </c>
      <c r="D858" t="s">
        <v>111</v>
      </c>
      <c r="E858">
        <v>19</v>
      </c>
      <c r="F858">
        <v>56</v>
      </c>
      <c r="G858">
        <v>110</v>
      </c>
      <c r="H858">
        <v>60</v>
      </c>
      <c r="I858" s="11">
        <v>6160</v>
      </c>
      <c r="J858" s="11">
        <v>3360</v>
      </c>
      <c r="K858" s="11">
        <v>2800</v>
      </c>
      <c r="L858" t="s">
        <v>88</v>
      </c>
      <c r="M858" t="s">
        <v>118</v>
      </c>
      <c r="N858" t="s">
        <v>122</v>
      </c>
    </row>
    <row r="859" spans="1:14">
      <c r="A859" s="20">
        <v>45384</v>
      </c>
      <c r="B859" t="s">
        <v>106</v>
      </c>
      <c r="C859" t="s">
        <v>97</v>
      </c>
      <c r="D859" t="s">
        <v>111</v>
      </c>
      <c r="E859">
        <v>40</v>
      </c>
      <c r="F859">
        <v>144</v>
      </c>
      <c r="G859">
        <v>130</v>
      </c>
      <c r="H859">
        <v>70</v>
      </c>
      <c r="I859" s="11">
        <v>18720</v>
      </c>
      <c r="J859" s="11">
        <v>10080</v>
      </c>
      <c r="K859" s="11">
        <v>8640</v>
      </c>
      <c r="L859" t="s">
        <v>81</v>
      </c>
      <c r="M859" t="s">
        <v>116</v>
      </c>
      <c r="N859" t="s">
        <v>125</v>
      </c>
    </row>
    <row r="860" spans="1:14">
      <c r="A860" s="20">
        <v>45299</v>
      </c>
      <c r="B860" t="s">
        <v>103</v>
      </c>
      <c r="C860" t="s">
        <v>96</v>
      </c>
      <c r="D860" t="s">
        <v>110</v>
      </c>
      <c r="E860">
        <v>22</v>
      </c>
      <c r="F860">
        <v>39</v>
      </c>
      <c r="G860">
        <v>90</v>
      </c>
      <c r="H860">
        <v>50</v>
      </c>
      <c r="I860" s="11">
        <v>3510</v>
      </c>
      <c r="J860" s="11">
        <v>1950</v>
      </c>
      <c r="K860" s="11">
        <v>1560</v>
      </c>
      <c r="L860" t="s">
        <v>78</v>
      </c>
      <c r="M860" t="s">
        <v>115</v>
      </c>
      <c r="N860" t="s">
        <v>122</v>
      </c>
    </row>
    <row r="861" spans="1:14">
      <c r="A861" s="20">
        <v>45558</v>
      </c>
      <c r="B861" t="s">
        <v>103</v>
      </c>
      <c r="C861" t="s">
        <v>94</v>
      </c>
      <c r="D861" t="s">
        <v>112</v>
      </c>
      <c r="E861">
        <v>30</v>
      </c>
      <c r="F861">
        <v>42</v>
      </c>
      <c r="G861">
        <v>80</v>
      </c>
      <c r="H861">
        <v>45</v>
      </c>
      <c r="I861" s="11">
        <v>3360</v>
      </c>
      <c r="J861" s="11">
        <v>1890</v>
      </c>
      <c r="K861" s="11">
        <v>1470</v>
      </c>
      <c r="L861" t="s">
        <v>86</v>
      </c>
      <c r="M861" t="s">
        <v>117</v>
      </c>
      <c r="N861" t="s">
        <v>123</v>
      </c>
    </row>
    <row r="862" spans="1:14">
      <c r="A862" s="20">
        <v>45365</v>
      </c>
      <c r="B862" t="s">
        <v>103</v>
      </c>
      <c r="C862" t="s">
        <v>97</v>
      </c>
      <c r="D862" t="s">
        <v>111</v>
      </c>
      <c r="E862">
        <v>38</v>
      </c>
      <c r="F862">
        <v>105</v>
      </c>
      <c r="G862">
        <v>130</v>
      </c>
      <c r="H862">
        <v>70</v>
      </c>
      <c r="I862" s="11">
        <v>13650</v>
      </c>
      <c r="J862" s="11">
        <v>7350</v>
      </c>
      <c r="K862" s="11">
        <v>6300</v>
      </c>
      <c r="L862" t="s">
        <v>80</v>
      </c>
      <c r="M862" t="s">
        <v>115</v>
      </c>
      <c r="N862" t="s">
        <v>125</v>
      </c>
    </row>
    <row r="863" spans="1:14">
      <c r="A863" s="20">
        <v>45394</v>
      </c>
      <c r="B863" t="s">
        <v>105</v>
      </c>
      <c r="C863" t="s">
        <v>97</v>
      </c>
      <c r="D863" t="s">
        <v>112</v>
      </c>
      <c r="E863">
        <v>33</v>
      </c>
      <c r="F863">
        <v>138</v>
      </c>
      <c r="G863">
        <v>130</v>
      </c>
      <c r="H863">
        <v>70</v>
      </c>
      <c r="I863" s="11">
        <v>17940</v>
      </c>
      <c r="J863" s="11">
        <v>9660</v>
      </c>
      <c r="K863" s="11">
        <v>8280</v>
      </c>
      <c r="L863" t="s">
        <v>81</v>
      </c>
      <c r="M863" t="s">
        <v>116</v>
      </c>
      <c r="N863" t="s">
        <v>124</v>
      </c>
    </row>
    <row r="864" spans="1:14">
      <c r="A864" s="20">
        <v>45567</v>
      </c>
      <c r="B864" t="s">
        <v>103</v>
      </c>
      <c r="C864" t="s">
        <v>93</v>
      </c>
      <c r="D864" t="s">
        <v>111</v>
      </c>
      <c r="E864">
        <v>32</v>
      </c>
      <c r="F864">
        <v>42</v>
      </c>
      <c r="G864">
        <v>100</v>
      </c>
      <c r="H864">
        <v>55</v>
      </c>
      <c r="I864" s="11">
        <v>4200</v>
      </c>
      <c r="J864" s="11">
        <v>2310</v>
      </c>
      <c r="K864" s="11">
        <v>1890</v>
      </c>
      <c r="L864" t="s">
        <v>87</v>
      </c>
      <c r="M864" t="s">
        <v>118</v>
      </c>
      <c r="N864" t="s">
        <v>124</v>
      </c>
    </row>
    <row r="865" spans="1:14">
      <c r="A865" s="20">
        <v>45511</v>
      </c>
      <c r="B865" t="s">
        <v>104</v>
      </c>
      <c r="C865" t="s">
        <v>94</v>
      </c>
      <c r="D865" t="s">
        <v>110</v>
      </c>
      <c r="E865">
        <v>31</v>
      </c>
      <c r="F865">
        <v>104</v>
      </c>
      <c r="G865">
        <v>80</v>
      </c>
      <c r="H865">
        <v>45</v>
      </c>
      <c r="I865" s="11">
        <v>8320</v>
      </c>
      <c r="J865" s="11">
        <v>4680</v>
      </c>
      <c r="K865" s="11">
        <v>3640</v>
      </c>
      <c r="L865" t="s">
        <v>85</v>
      </c>
      <c r="M865" t="s">
        <v>117</v>
      </c>
      <c r="N865" t="s">
        <v>124</v>
      </c>
    </row>
    <row r="866" spans="1:14">
      <c r="A866" s="20">
        <v>45631</v>
      </c>
      <c r="B866" t="s">
        <v>103</v>
      </c>
      <c r="C866" t="s">
        <v>95</v>
      </c>
      <c r="D866" t="s">
        <v>110</v>
      </c>
      <c r="E866">
        <v>25</v>
      </c>
      <c r="F866">
        <v>28</v>
      </c>
      <c r="G866">
        <v>110</v>
      </c>
      <c r="H866">
        <v>60</v>
      </c>
      <c r="I866" s="11">
        <v>3080</v>
      </c>
      <c r="J866" s="11">
        <v>1680</v>
      </c>
      <c r="K866" s="11">
        <v>1400</v>
      </c>
      <c r="L866" t="s">
        <v>89</v>
      </c>
      <c r="M866" t="s">
        <v>118</v>
      </c>
      <c r="N866" t="s">
        <v>123</v>
      </c>
    </row>
    <row r="867" spans="1:14">
      <c r="A867" s="20">
        <v>45652</v>
      </c>
      <c r="B867" t="s">
        <v>105</v>
      </c>
      <c r="C867" t="s">
        <v>93</v>
      </c>
      <c r="D867" t="s">
        <v>112</v>
      </c>
      <c r="E867">
        <v>18</v>
      </c>
      <c r="F867">
        <v>23</v>
      </c>
      <c r="G867">
        <v>100</v>
      </c>
      <c r="H867">
        <v>55</v>
      </c>
      <c r="I867" s="11">
        <v>2300</v>
      </c>
      <c r="J867" s="11">
        <v>1265</v>
      </c>
      <c r="K867" s="11">
        <v>1035</v>
      </c>
      <c r="L867" t="s">
        <v>89</v>
      </c>
      <c r="M867" t="s">
        <v>118</v>
      </c>
      <c r="N867" t="s">
        <v>122</v>
      </c>
    </row>
    <row r="868" spans="1:14">
      <c r="A868" s="20">
        <v>45649</v>
      </c>
      <c r="B868" t="s">
        <v>103</v>
      </c>
      <c r="C868" t="s">
        <v>96</v>
      </c>
      <c r="D868" t="s">
        <v>111</v>
      </c>
      <c r="E868">
        <v>23</v>
      </c>
      <c r="F868">
        <v>25</v>
      </c>
      <c r="G868">
        <v>90</v>
      </c>
      <c r="H868">
        <v>50</v>
      </c>
      <c r="I868" s="11">
        <v>2250</v>
      </c>
      <c r="J868" s="11">
        <v>1250</v>
      </c>
      <c r="K868" s="11">
        <v>1000</v>
      </c>
      <c r="L868" t="s">
        <v>89</v>
      </c>
      <c r="M868" t="s">
        <v>118</v>
      </c>
      <c r="N868" t="s">
        <v>122</v>
      </c>
    </row>
    <row r="869" spans="1:14">
      <c r="A869" s="20">
        <v>45523</v>
      </c>
      <c r="B869" t="s">
        <v>103</v>
      </c>
      <c r="C869" t="s">
        <v>98</v>
      </c>
      <c r="D869" t="s">
        <v>111</v>
      </c>
      <c r="E869">
        <v>26</v>
      </c>
      <c r="F869">
        <v>71</v>
      </c>
      <c r="G869">
        <v>100</v>
      </c>
      <c r="H869">
        <v>55</v>
      </c>
      <c r="I869" s="11">
        <v>7100</v>
      </c>
      <c r="J869" s="11">
        <v>3905</v>
      </c>
      <c r="K869" s="11">
        <v>3195</v>
      </c>
      <c r="L869" t="s">
        <v>85</v>
      </c>
      <c r="M869" t="s">
        <v>117</v>
      </c>
      <c r="N869" t="s">
        <v>123</v>
      </c>
    </row>
    <row r="870" spans="1:14">
      <c r="A870" s="20">
        <v>45482</v>
      </c>
      <c r="B870" t="s">
        <v>106</v>
      </c>
      <c r="C870" t="s">
        <v>97</v>
      </c>
      <c r="D870" t="s">
        <v>111</v>
      </c>
      <c r="E870">
        <v>34</v>
      </c>
      <c r="F870">
        <v>65</v>
      </c>
      <c r="G870">
        <v>130</v>
      </c>
      <c r="H870">
        <v>70</v>
      </c>
      <c r="I870" s="11">
        <v>8450</v>
      </c>
      <c r="J870" s="11">
        <v>4550</v>
      </c>
      <c r="K870" s="11">
        <v>3900</v>
      </c>
      <c r="L870" t="s">
        <v>84</v>
      </c>
      <c r="M870" t="s">
        <v>117</v>
      </c>
      <c r="N870" t="s">
        <v>124</v>
      </c>
    </row>
    <row r="871" spans="1:14">
      <c r="A871" s="20">
        <v>45297</v>
      </c>
      <c r="B871" t="s">
        <v>106</v>
      </c>
      <c r="C871" t="s">
        <v>95</v>
      </c>
      <c r="D871" t="s">
        <v>111</v>
      </c>
      <c r="E871">
        <v>24</v>
      </c>
      <c r="F871">
        <v>34</v>
      </c>
      <c r="G871">
        <v>110</v>
      </c>
      <c r="H871">
        <v>60</v>
      </c>
      <c r="I871" s="11">
        <v>3740</v>
      </c>
      <c r="J871" s="11">
        <v>2040</v>
      </c>
      <c r="K871" s="11">
        <v>1700</v>
      </c>
      <c r="L871" t="s">
        <v>78</v>
      </c>
      <c r="M871" t="s">
        <v>115</v>
      </c>
      <c r="N871" t="s">
        <v>122</v>
      </c>
    </row>
    <row r="872" spans="1:14">
      <c r="A872" s="20">
        <v>45628</v>
      </c>
      <c r="B872" t="s">
        <v>103</v>
      </c>
      <c r="C872" t="s">
        <v>95</v>
      </c>
      <c r="D872" t="s">
        <v>110</v>
      </c>
      <c r="E872">
        <v>20</v>
      </c>
      <c r="F872">
        <v>43</v>
      </c>
      <c r="G872">
        <v>110</v>
      </c>
      <c r="H872">
        <v>60</v>
      </c>
      <c r="I872" s="11">
        <v>4730</v>
      </c>
      <c r="J872" s="11">
        <v>2580</v>
      </c>
      <c r="K872" s="11">
        <v>2150</v>
      </c>
      <c r="L872" t="s">
        <v>89</v>
      </c>
      <c r="M872" t="s">
        <v>118</v>
      </c>
      <c r="N872" t="s">
        <v>122</v>
      </c>
    </row>
    <row r="873" spans="1:14">
      <c r="A873" s="20">
        <v>45366</v>
      </c>
      <c r="B873" t="s">
        <v>103</v>
      </c>
      <c r="C873" t="s">
        <v>98</v>
      </c>
      <c r="D873" t="s">
        <v>112</v>
      </c>
      <c r="E873">
        <v>37</v>
      </c>
      <c r="F873">
        <v>70</v>
      </c>
      <c r="G873">
        <v>100</v>
      </c>
      <c r="H873">
        <v>55</v>
      </c>
      <c r="I873" s="11">
        <v>7000</v>
      </c>
      <c r="J873" s="11">
        <v>3850</v>
      </c>
      <c r="K873" s="11">
        <v>3150</v>
      </c>
      <c r="L873" t="s">
        <v>80</v>
      </c>
      <c r="M873" t="s">
        <v>115</v>
      </c>
      <c r="N873" t="s">
        <v>125</v>
      </c>
    </row>
    <row r="874" spans="1:14">
      <c r="A874" s="20">
        <v>45475</v>
      </c>
      <c r="B874" t="s">
        <v>106</v>
      </c>
      <c r="C874" t="s">
        <v>94</v>
      </c>
      <c r="D874" t="s">
        <v>112</v>
      </c>
      <c r="E874">
        <v>32</v>
      </c>
      <c r="F874">
        <v>88</v>
      </c>
      <c r="G874">
        <v>80</v>
      </c>
      <c r="H874">
        <v>45</v>
      </c>
      <c r="I874" s="11">
        <v>7040</v>
      </c>
      <c r="J874" s="11">
        <v>3960</v>
      </c>
      <c r="K874" s="11">
        <v>3080</v>
      </c>
      <c r="L874" t="s">
        <v>84</v>
      </c>
      <c r="M874" t="s">
        <v>117</v>
      </c>
      <c r="N874" t="s">
        <v>124</v>
      </c>
    </row>
    <row r="875" spans="1:14">
      <c r="A875" s="20">
        <v>45400</v>
      </c>
      <c r="B875" t="s">
        <v>105</v>
      </c>
      <c r="C875" t="s">
        <v>95</v>
      </c>
      <c r="D875" t="s">
        <v>111</v>
      </c>
      <c r="E875">
        <v>34</v>
      </c>
      <c r="F875">
        <v>84</v>
      </c>
      <c r="G875">
        <v>110</v>
      </c>
      <c r="H875">
        <v>60</v>
      </c>
      <c r="I875" s="11">
        <v>9240</v>
      </c>
      <c r="J875" s="11">
        <v>5040</v>
      </c>
      <c r="K875" s="11">
        <v>4200</v>
      </c>
      <c r="L875" t="s">
        <v>81</v>
      </c>
      <c r="M875" t="s">
        <v>116</v>
      </c>
      <c r="N875" t="s">
        <v>124</v>
      </c>
    </row>
    <row r="876" spans="1:14">
      <c r="A876" s="20">
        <v>45537</v>
      </c>
      <c r="B876" t="s">
        <v>106</v>
      </c>
      <c r="C876" t="s">
        <v>93</v>
      </c>
      <c r="D876" t="s">
        <v>112</v>
      </c>
      <c r="E876">
        <v>31</v>
      </c>
      <c r="F876">
        <v>109</v>
      </c>
      <c r="G876">
        <v>100</v>
      </c>
      <c r="H876">
        <v>55</v>
      </c>
      <c r="I876" s="11">
        <v>10900</v>
      </c>
      <c r="J876" s="11">
        <v>5995</v>
      </c>
      <c r="K876" s="11">
        <v>4905</v>
      </c>
      <c r="L876" t="s">
        <v>86</v>
      </c>
      <c r="M876" t="s">
        <v>117</v>
      </c>
      <c r="N876" t="s">
        <v>124</v>
      </c>
    </row>
    <row r="877" spans="1:14">
      <c r="A877" s="20">
        <v>45463</v>
      </c>
      <c r="B877" t="s">
        <v>106</v>
      </c>
      <c r="C877" t="s">
        <v>94</v>
      </c>
      <c r="D877" t="s">
        <v>111</v>
      </c>
      <c r="E877">
        <v>35</v>
      </c>
      <c r="F877">
        <v>112</v>
      </c>
      <c r="G877">
        <v>80</v>
      </c>
      <c r="H877">
        <v>45</v>
      </c>
      <c r="I877" s="11">
        <v>8960</v>
      </c>
      <c r="J877" s="11">
        <v>5040</v>
      </c>
      <c r="K877" s="11">
        <v>3920</v>
      </c>
      <c r="L877" t="s">
        <v>83</v>
      </c>
      <c r="M877" t="s">
        <v>116</v>
      </c>
      <c r="N877" t="s">
        <v>124</v>
      </c>
    </row>
    <row r="878" spans="1:14">
      <c r="A878" s="20">
        <v>45456</v>
      </c>
      <c r="B878" t="s">
        <v>105</v>
      </c>
      <c r="C878" t="s">
        <v>96</v>
      </c>
      <c r="D878" t="s">
        <v>110</v>
      </c>
      <c r="E878">
        <v>34</v>
      </c>
      <c r="F878">
        <v>182</v>
      </c>
      <c r="G878">
        <v>90</v>
      </c>
      <c r="H878">
        <v>50</v>
      </c>
      <c r="I878" s="11">
        <v>16380</v>
      </c>
      <c r="J878" s="11">
        <v>9100</v>
      </c>
      <c r="K878" s="11">
        <v>7280</v>
      </c>
      <c r="L878" t="s">
        <v>83</v>
      </c>
      <c r="M878" t="s">
        <v>116</v>
      </c>
      <c r="N878" t="s">
        <v>124</v>
      </c>
    </row>
    <row r="879" spans="1:14">
      <c r="A879" s="20">
        <v>45466</v>
      </c>
      <c r="B879" t="s">
        <v>106</v>
      </c>
      <c r="C879" t="s">
        <v>94</v>
      </c>
      <c r="D879" t="s">
        <v>111</v>
      </c>
      <c r="E879">
        <v>32</v>
      </c>
      <c r="F879">
        <v>110</v>
      </c>
      <c r="G879">
        <v>80</v>
      </c>
      <c r="H879">
        <v>45</v>
      </c>
      <c r="I879" s="11">
        <v>8800</v>
      </c>
      <c r="J879" s="11">
        <v>4950</v>
      </c>
      <c r="K879" s="11">
        <v>3850</v>
      </c>
      <c r="L879" t="s">
        <v>83</v>
      </c>
      <c r="M879" t="s">
        <v>116</v>
      </c>
      <c r="N879" t="s">
        <v>124</v>
      </c>
    </row>
    <row r="880" spans="1:14">
      <c r="A880" s="20">
        <v>45315</v>
      </c>
      <c r="B880" t="s">
        <v>105</v>
      </c>
      <c r="C880" t="s">
        <v>94</v>
      </c>
      <c r="D880" t="s">
        <v>110</v>
      </c>
      <c r="E880">
        <v>23</v>
      </c>
      <c r="F880">
        <v>59</v>
      </c>
      <c r="G880">
        <v>80</v>
      </c>
      <c r="H880">
        <v>45</v>
      </c>
      <c r="I880" s="11">
        <v>4720</v>
      </c>
      <c r="J880" s="11">
        <v>2655</v>
      </c>
      <c r="K880" s="11">
        <v>2065</v>
      </c>
      <c r="L880" t="s">
        <v>78</v>
      </c>
      <c r="M880" t="s">
        <v>115</v>
      </c>
      <c r="N880" t="s">
        <v>122</v>
      </c>
    </row>
    <row r="881" spans="1:14">
      <c r="A881" s="20">
        <v>45318</v>
      </c>
      <c r="B881" t="s">
        <v>105</v>
      </c>
      <c r="C881" t="s">
        <v>95</v>
      </c>
      <c r="D881" t="s">
        <v>110</v>
      </c>
      <c r="E881">
        <v>26</v>
      </c>
      <c r="F881">
        <v>12</v>
      </c>
      <c r="G881">
        <v>110</v>
      </c>
      <c r="H881">
        <v>60</v>
      </c>
      <c r="I881" s="11">
        <v>1320</v>
      </c>
      <c r="J881" s="11">
        <v>720</v>
      </c>
      <c r="K881" s="11">
        <v>600</v>
      </c>
      <c r="L881" t="s">
        <v>78</v>
      </c>
      <c r="M881" t="s">
        <v>115</v>
      </c>
      <c r="N881" t="s">
        <v>123</v>
      </c>
    </row>
    <row r="882" spans="1:14">
      <c r="A882" s="20">
        <v>45645</v>
      </c>
      <c r="B882" t="s">
        <v>104</v>
      </c>
      <c r="C882" t="s">
        <v>95</v>
      </c>
      <c r="D882" t="s">
        <v>110</v>
      </c>
      <c r="E882">
        <v>21</v>
      </c>
      <c r="F882">
        <v>39</v>
      </c>
      <c r="G882">
        <v>110</v>
      </c>
      <c r="H882">
        <v>60</v>
      </c>
      <c r="I882" s="11">
        <v>4290</v>
      </c>
      <c r="J882" s="11">
        <v>2340</v>
      </c>
      <c r="K882" s="11">
        <v>1950</v>
      </c>
      <c r="L882" t="s">
        <v>89</v>
      </c>
      <c r="M882" t="s">
        <v>118</v>
      </c>
      <c r="N882" t="s">
        <v>122</v>
      </c>
    </row>
    <row r="883" spans="1:14">
      <c r="A883" s="20">
        <v>45532</v>
      </c>
      <c r="B883" t="s">
        <v>103</v>
      </c>
      <c r="C883" t="s">
        <v>94</v>
      </c>
      <c r="D883" t="s">
        <v>110</v>
      </c>
      <c r="E883">
        <v>34</v>
      </c>
      <c r="F883">
        <v>107</v>
      </c>
      <c r="G883">
        <v>80</v>
      </c>
      <c r="H883">
        <v>45</v>
      </c>
      <c r="I883" s="11">
        <v>8560</v>
      </c>
      <c r="J883" s="11">
        <v>4815</v>
      </c>
      <c r="K883" s="11">
        <v>3745</v>
      </c>
      <c r="L883" t="s">
        <v>85</v>
      </c>
      <c r="M883" t="s">
        <v>117</v>
      </c>
      <c r="N883" t="s">
        <v>124</v>
      </c>
    </row>
    <row r="884" spans="1:14">
      <c r="A884" s="20">
        <v>45640</v>
      </c>
      <c r="B884" t="s">
        <v>104</v>
      </c>
      <c r="C884" t="s">
        <v>96</v>
      </c>
      <c r="D884" t="s">
        <v>112</v>
      </c>
      <c r="E884">
        <v>26</v>
      </c>
      <c r="F884">
        <v>40</v>
      </c>
      <c r="G884">
        <v>90</v>
      </c>
      <c r="H884">
        <v>50</v>
      </c>
      <c r="I884" s="11">
        <v>3600</v>
      </c>
      <c r="J884" s="11">
        <v>2000</v>
      </c>
      <c r="K884" s="11">
        <v>1600</v>
      </c>
      <c r="L884" t="s">
        <v>89</v>
      </c>
      <c r="M884" t="s">
        <v>118</v>
      </c>
      <c r="N884" t="s">
        <v>123</v>
      </c>
    </row>
    <row r="885" spans="1:14">
      <c r="A885" s="20">
        <v>45329</v>
      </c>
      <c r="B885" t="s">
        <v>104</v>
      </c>
      <c r="C885" t="s">
        <v>94</v>
      </c>
      <c r="D885" t="s">
        <v>110</v>
      </c>
      <c r="E885">
        <v>34</v>
      </c>
      <c r="F885">
        <v>107</v>
      </c>
      <c r="G885">
        <v>80</v>
      </c>
      <c r="H885">
        <v>45</v>
      </c>
      <c r="I885" s="11">
        <v>8560</v>
      </c>
      <c r="J885" s="11">
        <v>4815</v>
      </c>
      <c r="K885" s="11">
        <v>3745</v>
      </c>
      <c r="L885" t="s">
        <v>79</v>
      </c>
      <c r="M885" t="s">
        <v>115</v>
      </c>
      <c r="N885" t="s">
        <v>124</v>
      </c>
    </row>
    <row r="886" spans="1:14">
      <c r="A886" s="20">
        <v>45347</v>
      </c>
      <c r="B886" t="s">
        <v>104</v>
      </c>
      <c r="C886" t="s">
        <v>96</v>
      </c>
      <c r="D886" t="s">
        <v>110</v>
      </c>
      <c r="E886">
        <v>28</v>
      </c>
      <c r="F886">
        <v>51</v>
      </c>
      <c r="G886">
        <v>90</v>
      </c>
      <c r="H886">
        <v>50</v>
      </c>
      <c r="I886" s="11">
        <v>4590</v>
      </c>
      <c r="J886" s="11">
        <v>2550</v>
      </c>
      <c r="K886" s="11">
        <v>2040</v>
      </c>
      <c r="L886" t="s">
        <v>79</v>
      </c>
      <c r="M886" t="s">
        <v>115</v>
      </c>
      <c r="N886" t="s">
        <v>123</v>
      </c>
    </row>
    <row r="887" spans="1:14">
      <c r="A887" s="20">
        <v>45563</v>
      </c>
      <c r="B887" t="s">
        <v>105</v>
      </c>
      <c r="C887" t="s">
        <v>98</v>
      </c>
      <c r="D887" t="s">
        <v>110</v>
      </c>
      <c r="E887">
        <v>32</v>
      </c>
      <c r="F887">
        <v>109</v>
      </c>
      <c r="G887">
        <v>100</v>
      </c>
      <c r="H887">
        <v>55</v>
      </c>
      <c r="I887" s="11">
        <v>10900</v>
      </c>
      <c r="J887" s="11">
        <v>5995</v>
      </c>
      <c r="K887" s="11">
        <v>4905</v>
      </c>
      <c r="L887" t="s">
        <v>86</v>
      </c>
      <c r="M887" t="s">
        <v>117</v>
      </c>
      <c r="N887" t="s">
        <v>124</v>
      </c>
    </row>
    <row r="888" spans="1:14">
      <c r="A888" s="20">
        <v>45421</v>
      </c>
      <c r="B888" t="s">
        <v>105</v>
      </c>
      <c r="C888" t="s">
        <v>97</v>
      </c>
      <c r="D888" t="s">
        <v>111</v>
      </c>
      <c r="E888">
        <v>38</v>
      </c>
      <c r="F888">
        <v>130</v>
      </c>
      <c r="G888">
        <v>130</v>
      </c>
      <c r="H888">
        <v>70</v>
      </c>
      <c r="I888" s="11">
        <v>16900</v>
      </c>
      <c r="J888" s="11">
        <v>9100</v>
      </c>
      <c r="K888" s="11">
        <v>7800</v>
      </c>
      <c r="L888" t="s">
        <v>82</v>
      </c>
      <c r="M888" t="s">
        <v>116</v>
      </c>
      <c r="N888" t="s">
        <v>125</v>
      </c>
    </row>
    <row r="889" spans="1:14">
      <c r="A889" s="20">
        <v>45616</v>
      </c>
      <c r="B889" t="s">
        <v>103</v>
      </c>
      <c r="C889" t="s">
        <v>93</v>
      </c>
      <c r="D889" t="s">
        <v>110</v>
      </c>
      <c r="E889">
        <v>25</v>
      </c>
      <c r="F889">
        <v>46</v>
      </c>
      <c r="G889">
        <v>100</v>
      </c>
      <c r="H889">
        <v>55</v>
      </c>
      <c r="I889" s="11">
        <v>4600</v>
      </c>
      <c r="J889" s="11">
        <v>2530</v>
      </c>
      <c r="K889" s="11">
        <v>2070</v>
      </c>
      <c r="L889" t="s">
        <v>88</v>
      </c>
      <c r="M889" t="s">
        <v>118</v>
      </c>
      <c r="N889" t="s">
        <v>123</v>
      </c>
    </row>
    <row r="890" spans="1:14">
      <c r="A890" s="20">
        <v>45492</v>
      </c>
      <c r="B890" t="s">
        <v>103</v>
      </c>
      <c r="C890" t="s">
        <v>93</v>
      </c>
      <c r="D890" t="s">
        <v>110</v>
      </c>
      <c r="E890">
        <v>31</v>
      </c>
      <c r="F890">
        <v>93</v>
      </c>
      <c r="G890">
        <v>100</v>
      </c>
      <c r="H890">
        <v>55</v>
      </c>
      <c r="I890" s="11">
        <v>9300</v>
      </c>
      <c r="J890" s="11">
        <v>5115</v>
      </c>
      <c r="K890" s="11">
        <v>4185</v>
      </c>
      <c r="L890" t="s">
        <v>84</v>
      </c>
      <c r="M890" t="s">
        <v>117</v>
      </c>
      <c r="N890" t="s">
        <v>124</v>
      </c>
    </row>
    <row r="891" spans="1:14">
      <c r="A891" s="20">
        <v>45569</v>
      </c>
      <c r="B891" t="s">
        <v>105</v>
      </c>
      <c r="C891" t="s">
        <v>98</v>
      </c>
      <c r="D891" t="s">
        <v>111</v>
      </c>
      <c r="E891">
        <v>32</v>
      </c>
      <c r="F891">
        <v>47</v>
      </c>
      <c r="G891">
        <v>100</v>
      </c>
      <c r="H891">
        <v>55</v>
      </c>
      <c r="I891" s="11">
        <v>4700</v>
      </c>
      <c r="J891" s="11">
        <v>2585</v>
      </c>
      <c r="K891" s="11">
        <v>2115</v>
      </c>
      <c r="L891" t="s">
        <v>87</v>
      </c>
      <c r="M891" t="s">
        <v>118</v>
      </c>
      <c r="N891" t="s">
        <v>124</v>
      </c>
    </row>
    <row r="892" spans="1:14">
      <c r="A892" s="20">
        <v>45388</v>
      </c>
      <c r="B892" t="s">
        <v>103</v>
      </c>
      <c r="C892" t="s">
        <v>95</v>
      </c>
      <c r="D892" t="s">
        <v>110</v>
      </c>
      <c r="E892">
        <v>32</v>
      </c>
      <c r="F892">
        <v>76</v>
      </c>
      <c r="G892">
        <v>110</v>
      </c>
      <c r="H892">
        <v>60</v>
      </c>
      <c r="I892" s="11">
        <v>8360</v>
      </c>
      <c r="J892" s="11">
        <v>4560</v>
      </c>
      <c r="K892" s="11">
        <v>3800</v>
      </c>
      <c r="L892" t="s">
        <v>81</v>
      </c>
      <c r="M892" t="s">
        <v>116</v>
      </c>
      <c r="N892" t="s">
        <v>124</v>
      </c>
    </row>
    <row r="893" spans="1:14">
      <c r="A893" s="20">
        <v>45575</v>
      </c>
      <c r="B893" t="s">
        <v>105</v>
      </c>
      <c r="C893" t="s">
        <v>94</v>
      </c>
      <c r="D893" t="s">
        <v>112</v>
      </c>
      <c r="E893">
        <v>27</v>
      </c>
      <c r="F893">
        <v>91</v>
      </c>
      <c r="G893">
        <v>80</v>
      </c>
      <c r="H893">
        <v>45</v>
      </c>
      <c r="I893" s="11">
        <v>7280</v>
      </c>
      <c r="J893" s="11">
        <v>4095</v>
      </c>
      <c r="K893" s="11">
        <v>3185</v>
      </c>
      <c r="L893" t="s">
        <v>87</v>
      </c>
      <c r="M893" t="s">
        <v>118</v>
      </c>
      <c r="N893" t="s">
        <v>123</v>
      </c>
    </row>
    <row r="894" spans="1:14">
      <c r="A894" s="20">
        <v>45378</v>
      </c>
      <c r="B894" t="s">
        <v>103</v>
      </c>
      <c r="C894" t="s">
        <v>95</v>
      </c>
      <c r="D894" t="s">
        <v>111</v>
      </c>
      <c r="E894">
        <v>37</v>
      </c>
      <c r="F894">
        <v>67</v>
      </c>
      <c r="G894">
        <v>110</v>
      </c>
      <c r="H894">
        <v>60</v>
      </c>
      <c r="I894" s="11">
        <v>7370</v>
      </c>
      <c r="J894" s="11">
        <v>4020</v>
      </c>
      <c r="K894" s="11">
        <v>3350</v>
      </c>
      <c r="L894" t="s">
        <v>80</v>
      </c>
      <c r="M894" t="s">
        <v>115</v>
      </c>
      <c r="N894" t="s">
        <v>125</v>
      </c>
    </row>
    <row r="895" spans="1:14">
      <c r="A895" s="20">
        <v>45404</v>
      </c>
      <c r="B895" t="s">
        <v>105</v>
      </c>
      <c r="C895" t="s">
        <v>93</v>
      </c>
      <c r="D895" t="s">
        <v>111</v>
      </c>
      <c r="E895">
        <v>33</v>
      </c>
      <c r="F895">
        <v>128</v>
      </c>
      <c r="G895">
        <v>100</v>
      </c>
      <c r="H895">
        <v>55</v>
      </c>
      <c r="I895" s="11">
        <v>12800</v>
      </c>
      <c r="J895" s="11">
        <v>7040</v>
      </c>
      <c r="K895" s="11">
        <v>5760</v>
      </c>
      <c r="L895" t="s">
        <v>81</v>
      </c>
      <c r="M895" t="s">
        <v>116</v>
      </c>
      <c r="N895" t="s">
        <v>124</v>
      </c>
    </row>
    <row r="896" spans="1:14">
      <c r="A896" s="20">
        <v>45473</v>
      </c>
      <c r="B896" t="s">
        <v>105</v>
      </c>
      <c r="C896" t="s">
        <v>94</v>
      </c>
      <c r="D896" t="s">
        <v>110</v>
      </c>
      <c r="E896">
        <v>38</v>
      </c>
      <c r="F896">
        <v>116</v>
      </c>
      <c r="G896">
        <v>80</v>
      </c>
      <c r="H896">
        <v>45</v>
      </c>
      <c r="I896" s="11">
        <v>9280</v>
      </c>
      <c r="J896" s="11">
        <v>5220</v>
      </c>
      <c r="K896" s="11">
        <v>4060</v>
      </c>
      <c r="L896" t="s">
        <v>83</v>
      </c>
      <c r="M896" t="s">
        <v>116</v>
      </c>
      <c r="N896" t="s">
        <v>125</v>
      </c>
    </row>
    <row r="897" spans="1:14">
      <c r="A897" s="20">
        <v>45539</v>
      </c>
      <c r="B897" t="s">
        <v>104</v>
      </c>
      <c r="C897" t="s">
        <v>93</v>
      </c>
      <c r="D897" t="s">
        <v>110</v>
      </c>
      <c r="E897">
        <v>29</v>
      </c>
      <c r="F897">
        <v>94</v>
      </c>
      <c r="G897">
        <v>100</v>
      </c>
      <c r="H897">
        <v>55</v>
      </c>
      <c r="I897" s="11">
        <v>9400</v>
      </c>
      <c r="J897" s="11">
        <v>5170</v>
      </c>
      <c r="K897" s="11">
        <v>4230</v>
      </c>
      <c r="L897" t="s">
        <v>86</v>
      </c>
      <c r="M897" t="s">
        <v>117</v>
      </c>
      <c r="N897" t="s">
        <v>123</v>
      </c>
    </row>
    <row r="898" spans="1:14">
      <c r="A898" s="20">
        <v>45596</v>
      </c>
      <c r="B898" t="s">
        <v>103</v>
      </c>
      <c r="C898" t="s">
        <v>98</v>
      </c>
      <c r="D898" t="s">
        <v>111</v>
      </c>
      <c r="E898">
        <v>34</v>
      </c>
      <c r="F898">
        <v>107</v>
      </c>
      <c r="G898">
        <v>100</v>
      </c>
      <c r="H898">
        <v>55</v>
      </c>
      <c r="I898" s="11">
        <v>10700</v>
      </c>
      <c r="J898" s="11">
        <v>5885</v>
      </c>
      <c r="K898" s="11">
        <v>4815</v>
      </c>
      <c r="L898" t="s">
        <v>87</v>
      </c>
      <c r="M898" t="s">
        <v>118</v>
      </c>
      <c r="N898" t="s">
        <v>124</v>
      </c>
    </row>
    <row r="899" spans="1:14">
      <c r="A899" s="20">
        <v>45542</v>
      </c>
      <c r="B899" t="s">
        <v>106</v>
      </c>
      <c r="C899" t="s">
        <v>93</v>
      </c>
      <c r="D899" t="s">
        <v>110</v>
      </c>
      <c r="E899">
        <v>29</v>
      </c>
      <c r="F899">
        <v>99</v>
      </c>
      <c r="G899">
        <v>100</v>
      </c>
      <c r="H899">
        <v>55</v>
      </c>
      <c r="I899" s="11">
        <v>9900</v>
      </c>
      <c r="J899" s="11">
        <v>5445</v>
      </c>
      <c r="K899" s="11">
        <v>4455</v>
      </c>
      <c r="L899" t="s">
        <v>86</v>
      </c>
      <c r="M899" t="s">
        <v>117</v>
      </c>
      <c r="N899" t="s">
        <v>123</v>
      </c>
    </row>
    <row r="900" spans="1:14">
      <c r="A900" s="20">
        <v>45619</v>
      </c>
      <c r="B900" t="s">
        <v>103</v>
      </c>
      <c r="C900" t="s">
        <v>93</v>
      </c>
      <c r="D900" t="s">
        <v>110</v>
      </c>
      <c r="E900">
        <v>24</v>
      </c>
      <c r="F900">
        <v>56</v>
      </c>
      <c r="G900">
        <v>100</v>
      </c>
      <c r="H900">
        <v>55</v>
      </c>
      <c r="I900" s="11">
        <v>5600</v>
      </c>
      <c r="J900" s="11">
        <v>3080</v>
      </c>
      <c r="K900" s="11">
        <v>2520</v>
      </c>
      <c r="L900" t="s">
        <v>88</v>
      </c>
      <c r="M900" t="s">
        <v>118</v>
      </c>
      <c r="N900" t="s">
        <v>122</v>
      </c>
    </row>
    <row r="901" spans="1:14">
      <c r="A901" s="20">
        <v>45374</v>
      </c>
      <c r="B901" t="s">
        <v>103</v>
      </c>
      <c r="C901" t="s">
        <v>93</v>
      </c>
      <c r="D901" t="s">
        <v>110</v>
      </c>
      <c r="E901">
        <v>37</v>
      </c>
      <c r="F901">
        <v>111</v>
      </c>
      <c r="G901">
        <v>100</v>
      </c>
      <c r="H901">
        <v>55</v>
      </c>
      <c r="I901" s="11">
        <v>11100</v>
      </c>
      <c r="J901" s="11">
        <v>6105</v>
      </c>
      <c r="K901" s="11">
        <v>4995</v>
      </c>
      <c r="L901" t="s">
        <v>80</v>
      </c>
      <c r="M901" t="s">
        <v>115</v>
      </c>
      <c r="N901" t="s">
        <v>125</v>
      </c>
    </row>
    <row r="902" spans="1:14">
      <c r="A902" s="20">
        <v>45503</v>
      </c>
      <c r="B902" t="s">
        <v>105</v>
      </c>
      <c r="C902" t="s">
        <v>98</v>
      </c>
      <c r="D902" t="s">
        <v>111</v>
      </c>
      <c r="E902">
        <v>27</v>
      </c>
      <c r="F902">
        <v>94</v>
      </c>
      <c r="G902">
        <v>100</v>
      </c>
      <c r="H902">
        <v>55</v>
      </c>
      <c r="I902" s="11">
        <v>9400</v>
      </c>
      <c r="J902" s="11">
        <v>5170</v>
      </c>
      <c r="K902" s="11">
        <v>4230</v>
      </c>
      <c r="L902" t="s">
        <v>84</v>
      </c>
      <c r="M902" t="s">
        <v>117</v>
      </c>
      <c r="N902" t="s">
        <v>123</v>
      </c>
    </row>
    <row r="903" spans="1:14">
      <c r="A903" s="20">
        <v>45538</v>
      </c>
      <c r="B903" t="s">
        <v>103</v>
      </c>
      <c r="C903" t="s">
        <v>97</v>
      </c>
      <c r="D903" t="s">
        <v>111</v>
      </c>
      <c r="E903">
        <v>33</v>
      </c>
      <c r="F903">
        <v>108</v>
      </c>
      <c r="G903">
        <v>130</v>
      </c>
      <c r="H903">
        <v>70</v>
      </c>
      <c r="I903" s="11">
        <v>14040</v>
      </c>
      <c r="J903" s="11">
        <v>7560</v>
      </c>
      <c r="K903" s="11">
        <v>6480</v>
      </c>
      <c r="L903" t="s">
        <v>86</v>
      </c>
      <c r="M903" t="s">
        <v>117</v>
      </c>
      <c r="N903" t="s">
        <v>124</v>
      </c>
    </row>
    <row r="904" spans="1:14">
      <c r="A904" s="20">
        <v>45569</v>
      </c>
      <c r="B904" t="s">
        <v>103</v>
      </c>
      <c r="C904" t="s">
        <v>95</v>
      </c>
      <c r="D904" t="s">
        <v>110</v>
      </c>
      <c r="E904">
        <v>27</v>
      </c>
      <c r="F904">
        <v>64</v>
      </c>
      <c r="G904">
        <v>110</v>
      </c>
      <c r="H904">
        <v>60</v>
      </c>
      <c r="I904" s="11">
        <v>7040</v>
      </c>
      <c r="J904" s="11">
        <v>3840</v>
      </c>
      <c r="K904" s="11">
        <v>3200</v>
      </c>
      <c r="L904" t="s">
        <v>87</v>
      </c>
      <c r="M904" t="s">
        <v>118</v>
      </c>
      <c r="N904" t="s">
        <v>123</v>
      </c>
    </row>
    <row r="905" spans="1:14">
      <c r="A905" s="20">
        <v>45599</v>
      </c>
      <c r="B905" t="s">
        <v>103</v>
      </c>
      <c r="C905" t="s">
        <v>98</v>
      </c>
      <c r="D905" t="s">
        <v>110</v>
      </c>
      <c r="E905">
        <v>22</v>
      </c>
      <c r="F905">
        <v>10</v>
      </c>
      <c r="G905">
        <v>100</v>
      </c>
      <c r="H905">
        <v>55</v>
      </c>
      <c r="I905" s="11">
        <v>1000</v>
      </c>
      <c r="J905" s="11">
        <v>550</v>
      </c>
      <c r="K905" s="11">
        <v>450</v>
      </c>
      <c r="L905" t="s">
        <v>88</v>
      </c>
      <c r="M905" t="s">
        <v>118</v>
      </c>
      <c r="N905" t="s">
        <v>122</v>
      </c>
    </row>
    <row r="906" spans="1:14">
      <c r="A906" s="20">
        <v>45307</v>
      </c>
      <c r="B906" t="s">
        <v>106</v>
      </c>
      <c r="C906" t="s">
        <v>94</v>
      </c>
      <c r="D906" t="s">
        <v>110</v>
      </c>
      <c r="E906">
        <v>18</v>
      </c>
      <c r="F906">
        <v>25</v>
      </c>
      <c r="G906">
        <v>80</v>
      </c>
      <c r="H906">
        <v>45</v>
      </c>
      <c r="I906" s="11">
        <v>2000</v>
      </c>
      <c r="J906" s="11">
        <v>1125</v>
      </c>
      <c r="K906" s="11">
        <v>875</v>
      </c>
      <c r="L906" t="s">
        <v>78</v>
      </c>
      <c r="M906" t="s">
        <v>115</v>
      </c>
      <c r="N906" t="s">
        <v>122</v>
      </c>
    </row>
    <row r="907" spans="1:14">
      <c r="A907" s="20">
        <v>45391</v>
      </c>
      <c r="B907" t="s">
        <v>106</v>
      </c>
      <c r="C907" t="s">
        <v>97</v>
      </c>
      <c r="D907" t="s">
        <v>111</v>
      </c>
      <c r="E907">
        <v>38</v>
      </c>
      <c r="F907">
        <v>72</v>
      </c>
      <c r="G907">
        <v>130</v>
      </c>
      <c r="H907">
        <v>70</v>
      </c>
      <c r="I907" s="11">
        <v>9360</v>
      </c>
      <c r="J907" s="11">
        <v>5040</v>
      </c>
      <c r="K907" s="11">
        <v>4320</v>
      </c>
      <c r="L907" t="s">
        <v>81</v>
      </c>
      <c r="M907" t="s">
        <v>116</v>
      </c>
      <c r="N907" t="s">
        <v>125</v>
      </c>
    </row>
    <row r="908" spans="1:14">
      <c r="A908" s="20">
        <v>45472</v>
      </c>
      <c r="B908" t="s">
        <v>103</v>
      </c>
      <c r="C908" t="s">
        <v>93</v>
      </c>
      <c r="D908" t="s">
        <v>110</v>
      </c>
      <c r="E908">
        <v>38</v>
      </c>
      <c r="F908">
        <v>127</v>
      </c>
      <c r="G908">
        <v>100</v>
      </c>
      <c r="H908">
        <v>55</v>
      </c>
      <c r="I908" s="11">
        <v>12700</v>
      </c>
      <c r="J908" s="11">
        <v>6985</v>
      </c>
      <c r="K908" s="11">
        <v>5715</v>
      </c>
      <c r="L908" t="s">
        <v>83</v>
      </c>
      <c r="M908" t="s">
        <v>116</v>
      </c>
      <c r="N908" t="s">
        <v>125</v>
      </c>
    </row>
    <row r="909" spans="1:14">
      <c r="A909" s="20">
        <v>45387</v>
      </c>
      <c r="B909" t="s">
        <v>103</v>
      </c>
      <c r="C909" t="s">
        <v>95</v>
      </c>
      <c r="D909" t="s">
        <v>110</v>
      </c>
      <c r="E909">
        <v>37</v>
      </c>
      <c r="F909">
        <v>189</v>
      </c>
      <c r="G909">
        <v>110</v>
      </c>
      <c r="H909">
        <v>60</v>
      </c>
      <c r="I909" s="11">
        <v>20790</v>
      </c>
      <c r="J909" s="11">
        <v>11340</v>
      </c>
      <c r="K909" s="11">
        <v>9450</v>
      </c>
      <c r="L909" t="s">
        <v>81</v>
      </c>
      <c r="M909" t="s">
        <v>116</v>
      </c>
      <c r="N909" t="s">
        <v>125</v>
      </c>
    </row>
    <row r="910" spans="1:14">
      <c r="A910" s="20">
        <v>45441</v>
      </c>
      <c r="B910" t="s">
        <v>105</v>
      </c>
      <c r="C910" t="s">
        <v>95</v>
      </c>
      <c r="D910" t="s">
        <v>110</v>
      </c>
      <c r="E910">
        <v>37</v>
      </c>
      <c r="F910">
        <v>107</v>
      </c>
      <c r="G910">
        <v>110</v>
      </c>
      <c r="H910">
        <v>60</v>
      </c>
      <c r="I910" s="11">
        <v>11770</v>
      </c>
      <c r="J910" s="11">
        <v>6420</v>
      </c>
      <c r="K910" s="11">
        <v>5350</v>
      </c>
      <c r="L910" t="s">
        <v>82</v>
      </c>
      <c r="M910" t="s">
        <v>116</v>
      </c>
      <c r="N910" t="s">
        <v>125</v>
      </c>
    </row>
    <row r="911" spans="1:14">
      <c r="A911" s="20">
        <v>45502</v>
      </c>
      <c r="B911" t="s">
        <v>104</v>
      </c>
      <c r="C911" t="s">
        <v>93</v>
      </c>
      <c r="D911" t="s">
        <v>110</v>
      </c>
      <c r="E911">
        <v>32</v>
      </c>
      <c r="F911">
        <v>55</v>
      </c>
      <c r="G911">
        <v>100</v>
      </c>
      <c r="H911">
        <v>55</v>
      </c>
      <c r="I911" s="11">
        <v>5500</v>
      </c>
      <c r="J911" s="11">
        <v>3025</v>
      </c>
      <c r="K911" s="11">
        <v>2475</v>
      </c>
      <c r="L911" t="s">
        <v>84</v>
      </c>
      <c r="M911" t="s">
        <v>117</v>
      </c>
      <c r="N911" t="s">
        <v>124</v>
      </c>
    </row>
    <row r="912" spans="1:14">
      <c r="A912" s="20">
        <v>45626</v>
      </c>
      <c r="B912" t="s">
        <v>104</v>
      </c>
      <c r="C912" t="s">
        <v>97</v>
      </c>
      <c r="D912" t="s">
        <v>110</v>
      </c>
      <c r="E912">
        <v>24</v>
      </c>
      <c r="F912">
        <v>54</v>
      </c>
      <c r="G912">
        <v>130</v>
      </c>
      <c r="H912">
        <v>70</v>
      </c>
      <c r="I912" s="11">
        <v>7020</v>
      </c>
      <c r="J912" s="11">
        <v>3780</v>
      </c>
      <c r="K912" s="11">
        <v>3240</v>
      </c>
      <c r="L912" t="s">
        <v>88</v>
      </c>
      <c r="M912" t="s">
        <v>118</v>
      </c>
      <c r="N912" t="s">
        <v>122</v>
      </c>
    </row>
    <row r="913" spans="1:14">
      <c r="A913" s="20">
        <v>45483</v>
      </c>
      <c r="B913" t="s">
        <v>105</v>
      </c>
      <c r="C913" t="s">
        <v>94</v>
      </c>
      <c r="D913" t="s">
        <v>111</v>
      </c>
      <c r="E913">
        <v>32</v>
      </c>
      <c r="F913">
        <v>109</v>
      </c>
      <c r="G913">
        <v>80</v>
      </c>
      <c r="H913">
        <v>45</v>
      </c>
      <c r="I913" s="11">
        <v>8720</v>
      </c>
      <c r="J913" s="11">
        <v>4905</v>
      </c>
      <c r="K913" s="11">
        <v>3815</v>
      </c>
      <c r="L913" t="s">
        <v>84</v>
      </c>
      <c r="M913" t="s">
        <v>117</v>
      </c>
      <c r="N913" t="s">
        <v>124</v>
      </c>
    </row>
    <row r="914" spans="1:14">
      <c r="A914" s="20">
        <v>45585</v>
      </c>
      <c r="B914" t="s">
        <v>105</v>
      </c>
      <c r="C914" t="s">
        <v>93</v>
      </c>
      <c r="D914" t="s">
        <v>110</v>
      </c>
      <c r="E914">
        <v>28</v>
      </c>
      <c r="F914">
        <v>108</v>
      </c>
      <c r="G914">
        <v>100</v>
      </c>
      <c r="H914">
        <v>55</v>
      </c>
      <c r="I914" s="11">
        <v>10800</v>
      </c>
      <c r="J914" s="11">
        <v>5940</v>
      </c>
      <c r="K914" s="11">
        <v>4860</v>
      </c>
      <c r="L914" t="s">
        <v>87</v>
      </c>
      <c r="M914" t="s">
        <v>118</v>
      </c>
      <c r="N914" t="s">
        <v>123</v>
      </c>
    </row>
    <row r="915" spans="1:14">
      <c r="A915" s="20">
        <v>45634</v>
      </c>
      <c r="B915" t="s">
        <v>104</v>
      </c>
      <c r="C915" t="s">
        <v>96</v>
      </c>
      <c r="D915" t="s">
        <v>111</v>
      </c>
      <c r="E915">
        <v>20</v>
      </c>
      <c r="F915">
        <v>16</v>
      </c>
      <c r="G915">
        <v>90</v>
      </c>
      <c r="H915">
        <v>50</v>
      </c>
      <c r="I915" s="11">
        <v>1440</v>
      </c>
      <c r="J915" s="11">
        <v>800</v>
      </c>
      <c r="K915" s="11">
        <v>640</v>
      </c>
      <c r="L915" t="s">
        <v>89</v>
      </c>
      <c r="M915" t="s">
        <v>118</v>
      </c>
      <c r="N915" t="s">
        <v>122</v>
      </c>
    </row>
    <row r="916" spans="1:14">
      <c r="A916" s="20">
        <v>45605</v>
      </c>
      <c r="B916" t="s">
        <v>106</v>
      </c>
      <c r="C916" t="s">
        <v>96</v>
      </c>
      <c r="D916" t="s">
        <v>110</v>
      </c>
      <c r="E916">
        <v>21</v>
      </c>
      <c r="F916">
        <v>10</v>
      </c>
      <c r="G916">
        <v>90</v>
      </c>
      <c r="H916">
        <v>50</v>
      </c>
      <c r="I916" s="11">
        <v>900</v>
      </c>
      <c r="J916" s="11">
        <v>500</v>
      </c>
      <c r="K916" s="11">
        <v>400</v>
      </c>
      <c r="L916" t="s">
        <v>88</v>
      </c>
      <c r="M916" t="s">
        <v>118</v>
      </c>
      <c r="N916" t="s">
        <v>122</v>
      </c>
    </row>
    <row r="917" spans="1:14">
      <c r="A917" s="20">
        <v>45515</v>
      </c>
      <c r="B917" t="s">
        <v>105</v>
      </c>
      <c r="C917" t="s">
        <v>97</v>
      </c>
      <c r="D917" t="s">
        <v>111</v>
      </c>
      <c r="E917">
        <v>29</v>
      </c>
      <c r="F917">
        <v>59</v>
      </c>
      <c r="G917">
        <v>130</v>
      </c>
      <c r="H917">
        <v>70</v>
      </c>
      <c r="I917" s="11">
        <v>7670</v>
      </c>
      <c r="J917" s="11">
        <v>4130</v>
      </c>
      <c r="K917" s="11">
        <v>3540</v>
      </c>
      <c r="L917" t="s">
        <v>85</v>
      </c>
      <c r="M917" t="s">
        <v>117</v>
      </c>
      <c r="N917" t="s">
        <v>123</v>
      </c>
    </row>
    <row r="918" spans="1:14">
      <c r="A918" s="20">
        <v>45417</v>
      </c>
      <c r="B918" t="s">
        <v>104</v>
      </c>
      <c r="C918" t="s">
        <v>94</v>
      </c>
      <c r="D918" t="s">
        <v>112</v>
      </c>
      <c r="E918">
        <v>39</v>
      </c>
      <c r="F918">
        <v>100</v>
      </c>
      <c r="G918">
        <v>80</v>
      </c>
      <c r="H918">
        <v>45</v>
      </c>
      <c r="I918" s="11">
        <v>8000</v>
      </c>
      <c r="J918" s="11">
        <v>4500</v>
      </c>
      <c r="K918" s="11">
        <v>3500</v>
      </c>
      <c r="L918" t="s">
        <v>82</v>
      </c>
      <c r="M918" t="s">
        <v>116</v>
      </c>
      <c r="N918" t="s">
        <v>125</v>
      </c>
    </row>
    <row r="919" spans="1:14">
      <c r="A919" s="20">
        <v>45499</v>
      </c>
      <c r="B919" t="s">
        <v>104</v>
      </c>
      <c r="C919" t="s">
        <v>95</v>
      </c>
      <c r="D919" t="s">
        <v>111</v>
      </c>
      <c r="E919">
        <v>27</v>
      </c>
      <c r="F919">
        <v>93</v>
      </c>
      <c r="G919">
        <v>110</v>
      </c>
      <c r="H919">
        <v>60</v>
      </c>
      <c r="I919" s="11">
        <v>10230</v>
      </c>
      <c r="J919" s="11">
        <v>5580</v>
      </c>
      <c r="K919" s="11">
        <v>4650</v>
      </c>
      <c r="L919" t="s">
        <v>84</v>
      </c>
      <c r="M919" t="s">
        <v>117</v>
      </c>
      <c r="N919" t="s">
        <v>123</v>
      </c>
    </row>
    <row r="920" spans="1:14">
      <c r="A920" s="20">
        <v>45421</v>
      </c>
      <c r="B920" t="s">
        <v>104</v>
      </c>
      <c r="C920" t="s">
        <v>93</v>
      </c>
      <c r="D920" t="s">
        <v>110</v>
      </c>
      <c r="E920">
        <v>38</v>
      </c>
      <c r="F920">
        <v>138</v>
      </c>
      <c r="G920">
        <v>100</v>
      </c>
      <c r="H920">
        <v>55</v>
      </c>
      <c r="I920" s="11">
        <v>13800</v>
      </c>
      <c r="J920" s="11">
        <v>7590</v>
      </c>
      <c r="K920" s="11">
        <v>6210</v>
      </c>
      <c r="L920" t="s">
        <v>82</v>
      </c>
      <c r="M920" t="s">
        <v>116</v>
      </c>
      <c r="N920" t="s">
        <v>125</v>
      </c>
    </row>
    <row r="921" spans="1:14">
      <c r="A921" s="20">
        <v>45569</v>
      </c>
      <c r="B921" t="s">
        <v>104</v>
      </c>
      <c r="C921" t="s">
        <v>94</v>
      </c>
      <c r="D921" t="s">
        <v>112</v>
      </c>
      <c r="E921">
        <v>30</v>
      </c>
      <c r="F921">
        <v>54</v>
      </c>
      <c r="G921">
        <v>80</v>
      </c>
      <c r="H921">
        <v>45</v>
      </c>
      <c r="I921" s="11">
        <v>4320</v>
      </c>
      <c r="J921" s="11">
        <v>2430</v>
      </c>
      <c r="K921" s="11">
        <v>1890</v>
      </c>
      <c r="L921" t="s">
        <v>87</v>
      </c>
      <c r="M921" t="s">
        <v>118</v>
      </c>
      <c r="N921" t="s">
        <v>123</v>
      </c>
    </row>
    <row r="922" spans="1:14">
      <c r="A922" s="20">
        <v>45467</v>
      </c>
      <c r="B922" t="s">
        <v>104</v>
      </c>
      <c r="C922" t="s">
        <v>94</v>
      </c>
      <c r="D922" t="s">
        <v>110</v>
      </c>
      <c r="E922">
        <v>39</v>
      </c>
      <c r="F922">
        <v>159</v>
      </c>
      <c r="G922">
        <v>80</v>
      </c>
      <c r="H922">
        <v>45</v>
      </c>
      <c r="I922" s="11">
        <v>12720</v>
      </c>
      <c r="J922" s="11">
        <v>7155</v>
      </c>
      <c r="K922" s="11">
        <v>5565</v>
      </c>
      <c r="L922" t="s">
        <v>83</v>
      </c>
      <c r="M922" t="s">
        <v>116</v>
      </c>
      <c r="N922" t="s">
        <v>125</v>
      </c>
    </row>
    <row r="923" spans="1:14">
      <c r="A923" s="20">
        <v>45388</v>
      </c>
      <c r="B923" t="s">
        <v>106</v>
      </c>
      <c r="C923" t="s">
        <v>94</v>
      </c>
      <c r="D923" t="s">
        <v>110</v>
      </c>
      <c r="E923">
        <v>39</v>
      </c>
      <c r="F923">
        <v>170</v>
      </c>
      <c r="G923">
        <v>80</v>
      </c>
      <c r="H923">
        <v>45</v>
      </c>
      <c r="I923" s="11">
        <v>13600</v>
      </c>
      <c r="J923" s="11">
        <v>7650</v>
      </c>
      <c r="K923" s="11">
        <v>5950</v>
      </c>
      <c r="L923" t="s">
        <v>81</v>
      </c>
      <c r="M923" t="s">
        <v>116</v>
      </c>
      <c r="N923" t="s">
        <v>125</v>
      </c>
    </row>
    <row r="924" spans="1:14">
      <c r="A924" s="20">
        <v>45428</v>
      </c>
      <c r="B924" t="s">
        <v>103</v>
      </c>
      <c r="C924" t="s">
        <v>93</v>
      </c>
      <c r="D924" t="s">
        <v>111</v>
      </c>
      <c r="E924">
        <v>39</v>
      </c>
      <c r="F924">
        <v>143</v>
      </c>
      <c r="G924">
        <v>100</v>
      </c>
      <c r="H924">
        <v>55</v>
      </c>
      <c r="I924" s="11">
        <v>14300</v>
      </c>
      <c r="J924" s="11">
        <v>7865</v>
      </c>
      <c r="K924" s="11">
        <v>6435</v>
      </c>
      <c r="L924" t="s">
        <v>82</v>
      </c>
      <c r="M924" t="s">
        <v>116</v>
      </c>
      <c r="N924" t="s">
        <v>125</v>
      </c>
    </row>
    <row r="925" spans="1:14">
      <c r="A925" s="20">
        <v>45494</v>
      </c>
      <c r="B925" t="s">
        <v>104</v>
      </c>
      <c r="C925" t="s">
        <v>94</v>
      </c>
      <c r="D925" t="s">
        <v>110</v>
      </c>
      <c r="E925">
        <v>26</v>
      </c>
      <c r="F925">
        <v>103</v>
      </c>
      <c r="G925">
        <v>80</v>
      </c>
      <c r="H925">
        <v>45</v>
      </c>
      <c r="I925" s="11">
        <v>8240</v>
      </c>
      <c r="J925" s="11">
        <v>4635</v>
      </c>
      <c r="K925" s="11">
        <v>3605</v>
      </c>
      <c r="L925" t="s">
        <v>84</v>
      </c>
      <c r="M925" t="s">
        <v>117</v>
      </c>
      <c r="N925" t="s">
        <v>123</v>
      </c>
    </row>
    <row r="926" spans="1:14">
      <c r="A926" s="20">
        <v>45565</v>
      </c>
      <c r="B926" t="s">
        <v>103</v>
      </c>
      <c r="C926" t="s">
        <v>95</v>
      </c>
      <c r="D926" t="s">
        <v>111</v>
      </c>
      <c r="E926">
        <v>34</v>
      </c>
      <c r="F926">
        <v>46</v>
      </c>
      <c r="G926">
        <v>110</v>
      </c>
      <c r="H926">
        <v>60</v>
      </c>
      <c r="I926" s="11">
        <v>5060</v>
      </c>
      <c r="J926" s="11">
        <v>2760</v>
      </c>
      <c r="K926" s="11">
        <v>2300</v>
      </c>
      <c r="L926" t="s">
        <v>86</v>
      </c>
      <c r="M926" t="s">
        <v>117</v>
      </c>
      <c r="N926" t="s">
        <v>124</v>
      </c>
    </row>
    <row r="927" spans="1:14">
      <c r="A927" s="20">
        <v>45305</v>
      </c>
      <c r="B927" t="s">
        <v>103</v>
      </c>
      <c r="C927" t="s">
        <v>95</v>
      </c>
      <c r="D927" t="s">
        <v>112</v>
      </c>
      <c r="E927">
        <v>25</v>
      </c>
      <c r="F927">
        <v>29</v>
      </c>
      <c r="G927">
        <v>110</v>
      </c>
      <c r="H927">
        <v>60</v>
      </c>
      <c r="I927" s="11">
        <v>3190</v>
      </c>
      <c r="J927" s="11">
        <v>1740</v>
      </c>
      <c r="K927" s="11">
        <v>1450</v>
      </c>
      <c r="L927" t="s">
        <v>78</v>
      </c>
      <c r="M927" t="s">
        <v>115</v>
      </c>
      <c r="N927" t="s">
        <v>123</v>
      </c>
    </row>
    <row r="928" spans="1:14">
      <c r="A928" s="20">
        <v>45338</v>
      </c>
      <c r="B928" t="s">
        <v>103</v>
      </c>
      <c r="C928" t="s">
        <v>98</v>
      </c>
      <c r="D928" t="s">
        <v>110</v>
      </c>
      <c r="E928">
        <v>30</v>
      </c>
      <c r="F928">
        <v>44</v>
      </c>
      <c r="G928">
        <v>100</v>
      </c>
      <c r="H928">
        <v>55</v>
      </c>
      <c r="I928" s="11">
        <v>4400</v>
      </c>
      <c r="J928" s="11">
        <v>2420</v>
      </c>
      <c r="K928" s="11">
        <v>1980</v>
      </c>
      <c r="L928" t="s">
        <v>79</v>
      </c>
      <c r="M928" t="s">
        <v>115</v>
      </c>
      <c r="N928" t="s">
        <v>123</v>
      </c>
    </row>
    <row r="929" spans="1:14">
      <c r="A929" s="20">
        <v>45538</v>
      </c>
      <c r="B929" t="s">
        <v>106</v>
      </c>
      <c r="C929" t="s">
        <v>95</v>
      </c>
      <c r="D929" t="s">
        <v>110</v>
      </c>
      <c r="E929">
        <v>26</v>
      </c>
      <c r="F929">
        <v>55</v>
      </c>
      <c r="G929">
        <v>110</v>
      </c>
      <c r="H929">
        <v>60</v>
      </c>
      <c r="I929" s="11">
        <v>6050</v>
      </c>
      <c r="J929" s="11">
        <v>3300</v>
      </c>
      <c r="K929" s="11">
        <v>2750</v>
      </c>
      <c r="L929" t="s">
        <v>86</v>
      </c>
      <c r="M929" t="s">
        <v>117</v>
      </c>
      <c r="N929" t="s">
        <v>123</v>
      </c>
    </row>
    <row r="930" spans="1:14">
      <c r="A930" s="20">
        <v>45629</v>
      </c>
      <c r="B930" t="s">
        <v>103</v>
      </c>
      <c r="C930" t="s">
        <v>98</v>
      </c>
      <c r="D930" t="s">
        <v>112</v>
      </c>
      <c r="E930">
        <v>18</v>
      </c>
      <c r="F930">
        <v>28</v>
      </c>
      <c r="G930">
        <v>100</v>
      </c>
      <c r="H930">
        <v>55</v>
      </c>
      <c r="I930" s="11">
        <v>2800</v>
      </c>
      <c r="J930" s="11">
        <v>1540</v>
      </c>
      <c r="K930" s="11">
        <v>1260</v>
      </c>
      <c r="L930" t="s">
        <v>89</v>
      </c>
      <c r="M930" t="s">
        <v>118</v>
      </c>
      <c r="N930" t="s">
        <v>122</v>
      </c>
    </row>
    <row r="931" spans="1:14">
      <c r="A931" s="20">
        <v>45367</v>
      </c>
      <c r="B931" t="s">
        <v>103</v>
      </c>
      <c r="C931" t="s">
        <v>98</v>
      </c>
      <c r="D931" t="s">
        <v>110</v>
      </c>
      <c r="E931">
        <v>41</v>
      </c>
      <c r="F931">
        <v>104</v>
      </c>
      <c r="G931">
        <v>100</v>
      </c>
      <c r="H931">
        <v>55</v>
      </c>
      <c r="I931" s="11">
        <v>10400</v>
      </c>
      <c r="J931" s="11">
        <v>5720</v>
      </c>
      <c r="K931" s="11">
        <v>4680</v>
      </c>
      <c r="L931" t="s">
        <v>80</v>
      </c>
      <c r="M931" t="s">
        <v>115</v>
      </c>
      <c r="N931" t="s">
        <v>125</v>
      </c>
    </row>
    <row r="932" spans="1:14">
      <c r="A932" s="20">
        <v>45646</v>
      </c>
      <c r="B932" t="s">
        <v>105</v>
      </c>
      <c r="C932" t="s">
        <v>97</v>
      </c>
      <c r="D932" t="s">
        <v>111</v>
      </c>
      <c r="E932">
        <v>21</v>
      </c>
      <c r="F932">
        <v>55</v>
      </c>
      <c r="G932">
        <v>130</v>
      </c>
      <c r="H932">
        <v>70</v>
      </c>
      <c r="I932" s="11">
        <v>7150</v>
      </c>
      <c r="J932" s="11">
        <v>3850</v>
      </c>
      <c r="K932" s="11">
        <v>3300</v>
      </c>
      <c r="L932" t="s">
        <v>89</v>
      </c>
      <c r="M932" t="s">
        <v>118</v>
      </c>
      <c r="N932" t="s">
        <v>122</v>
      </c>
    </row>
    <row r="933" spans="1:14">
      <c r="A933" s="20">
        <v>45480</v>
      </c>
      <c r="B933" t="s">
        <v>104</v>
      </c>
      <c r="C933" t="s">
        <v>95</v>
      </c>
      <c r="D933" t="s">
        <v>110</v>
      </c>
      <c r="E933">
        <v>33</v>
      </c>
      <c r="F933">
        <v>109</v>
      </c>
      <c r="G933">
        <v>110</v>
      </c>
      <c r="H933">
        <v>60</v>
      </c>
      <c r="I933" s="11">
        <v>11990</v>
      </c>
      <c r="J933" s="11">
        <v>6540</v>
      </c>
      <c r="K933" s="11">
        <v>5450</v>
      </c>
      <c r="L933" t="s">
        <v>84</v>
      </c>
      <c r="M933" t="s">
        <v>117</v>
      </c>
      <c r="N933" t="s">
        <v>124</v>
      </c>
    </row>
    <row r="934" spans="1:14">
      <c r="A934" s="20">
        <v>45448</v>
      </c>
      <c r="B934" t="s">
        <v>105</v>
      </c>
      <c r="C934" t="s">
        <v>93</v>
      </c>
      <c r="D934" t="s">
        <v>110</v>
      </c>
      <c r="E934">
        <v>40</v>
      </c>
      <c r="F934">
        <v>120</v>
      </c>
      <c r="G934">
        <v>100</v>
      </c>
      <c r="H934">
        <v>55</v>
      </c>
      <c r="I934" s="11">
        <v>12000</v>
      </c>
      <c r="J934" s="11">
        <v>6600</v>
      </c>
      <c r="K934" s="11">
        <v>5400</v>
      </c>
      <c r="L934" t="s">
        <v>83</v>
      </c>
      <c r="M934" t="s">
        <v>116</v>
      </c>
      <c r="N934" t="s">
        <v>125</v>
      </c>
    </row>
    <row r="935" spans="1:14">
      <c r="A935" s="20">
        <v>45625</v>
      </c>
      <c r="B935" t="s">
        <v>103</v>
      </c>
      <c r="C935" t="s">
        <v>96</v>
      </c>
      <c r="D935" t="s">
        <v>110</v>
      </c>
      <c r="E935">
        <v>26</v>
      </c>
      <c r="F935">
        <v>35</v>
      </c>
      <c r="G935">
        <v>90</v>
      </c>
      <c r="H935">
        <v>50</v>
      </c>
      <c r="I935" s="11">
        <v>3150</v>
      </c>
      <c r="J935" s="11">
        <v>1750</v>
      </c>
      <c r="K935" s="11">
        <v>1400</v>
      </c>
      <c r="L935" t="s">
        <v>88</v>
      </c>
      <c r="M935" t="s">
        <v>118</v>
      </c>
      <c r="N935" t="s">
        <v>123</v>
      </c>
    </row>
    <row r="936" spans="1:14">
      <c r="A936" s="20">
        <v>45592</v>
      </c>
      <c r="B936" t="s">
        <v>103</v>
      </c>
      <c r="C936" t="s">
        <v>93</v>
      </c>
      <c r="D936" t="s">
        <v>111</v>
      </c>
      <c r="E936">
        <v>27</v>
      </c>
      <c r="F936">
        <v>55</v>
      </c>
      <c r="G936">
        <v>100</v>
      </c>
      <c r="H936">
        <v>55</v>
      </c>
      <c r="I936" s="11">
        <v>5500</v>
      </c>
      <c r="J936" s="11">
        <v>3025</v>
      </c>
      <c r="K936" s="11">
        <v>2475</v>
      </c>
      <c r="L936" t="s">
        <v>87</v>
      </c>
      <c r="M936" t="s">
        <v>118</v>
      </c>
      <c r="N936" t="s">
        <v>123</v>
      </c>
    </row>
    <row r="937" spans="1:14">
      <c r="A937" s="20">
        <v>45399</v>
      </c>
      <c r="B937" t="s">
        <v>106</v>
      </c>
      <c r="C937" t="s">
        <v>93</v>
      </c>
      <c r="D937" t="s">
        <v>111</v>
      </c>
      <c r="E937">
        <v>39</v>
      </c>
      <c r="F937">
        <v>62</v>
      </c>
      <c r="G937">
        <v>100</v>
      </c>
      <c r="H937">
        <v>55</v>
      </c>
      <c r="I937" s="11">
        <v>6200</v>
      </c>
      <c r="J937" s="11">
        <v>3410</v>
      </c>
      <c r="K937" s="11">
        <v>2790</v>
      </c>
      <c r="L937" t="s">
        <v>81</v>
      </c>
      <c r="M937" t="s">
        <v>116</v>
      </c>
      <c r="N937" t="s">
        <v>125</v>
      </c>
    </row>
    <row r="938" spans="1:14">
      <c r="A938" s="20">
        <v>45389</v>
      </c>
      <c r="B938" t="s">
        <v>104</v>
      </c>
      <c r="C938" t="s">
        <v>95</v>
      </c>
      <c r="D938" t="s">
        <v>110</v>
      </c>
      <c r="E938">
        <v>41</v>
      </c>
      <c r="F938">
        <v>115</v>
      </c>
      <c r="G938">
        <v>110</v>
      </c>
      <c r="H938">
        <v>60</v>
      </c>
      <c r="I938" s="11">
        <v>12650</v>
      </c>
      <c r="J938" s="11">
        <v>6900</v>
      </c>
      <c r="K938" s="11">
        <v>5750</v>
      </c>
      <c r="L938" t="s">
        <v>81</v>
      </c>
      <c r="M938" t="s">
        <v>116</v>
      </c>
      <c r="N938" t="s">
        <v>125</v>
      </c>
    </row>
    <row r="939" spans="1:14">
      <c r="A939" s="20">
        <v>45378</v>
      </c>
      <c r="B939" t="s">
        <v>105</v>
      </c>
      <c r="C939" t="s">
        <v>94</v>
      </c>
      <c r="D939" t="s">
        <v>111</v>
      </c>
      <c r="E939">
        <v>33</v>
      </c>
      <c r="F939">
        <v>173</v>
      </c>
      <c r="G939">
        <v>80</v>
      </c>
      <c r="H939">
        <v>45</v>
      </c>
      <c r="I939" s="11">
        <v>13840</v>
      </c>
      <c r="J939" s="11">
        <v>7785</v>
      </c>
      <c r="K939" s="11">
        <v>6055</v>
      </c>
      <c r="L939" t="s">
        <v>80</v>
      </c>
      <c r="M939" t="s">
        <v>115</v>
      </c>
      <c r="N939" t="s">
        <v>124</v>
      </c>
    </row>
    <row r="940" spans="1:14">
      <c r="A940" s="20">
        <v>45375</v>
      </c>
      <c r="B940" t="s">
        <v>106</v>
      </c>
      <c r="C940" t="s">
        <v>98</v>
      </c>
      <c r="D940" t="s">
        <v>110</v>
      </c>
      <c r="E940">
        <v>33</v>
      </c>
      <c r="F940">
        <v>89</v>
      </c>
      <c r="G940">
        <v>100</v>
      </c>
      <c r="H940">
        <v>55</v>
      </c>
      <c r="I940" s="11">
        <v>8900</v>
      </c>
      <c r="J940" s="11">
        <v>4895</v>
      </c>
      <c r="K940" s="11">
        <v>4005</v>
      </c>
      <c r="L940" t="s">
        <v>80</v>
      </c>
      <c r="M940" t="s">
        <v>115</v>
      </c>
      <c r="N940" t="s">
        <v>124</v>
      </c>
    </row>
    <row r="941" spans="1:14">
      <c r="A941" s="20">
        <v>45391</v>
      </c>
      <c r="B941" t="s">
        <v>103</v>
      </c>
      <c r="C941" t="s">
        <v>93</v>
      </c>
      <c r="D941" t="s">
        <v>112</v>
      </c>
      <c r="E941">
        <v>35</v>
      </c>
      <c r="F941">
        <v>183</v>
      </c>
      <c r="G941">
        <v>100</v>
      </c>
      <c r="H941">
        <v>55</v>
      </c>
      <c r="I941" s="11">
        <v>18300</v>
      </c>
      <c r="J941" s="11">
        <v>10065</v>
      </c>
      <c r="K941" s="11">
        <v>8235</v>
      </c>
      <c r="L941" t="s">
        <v>81</v>
      </c>
      <c r="M941" t="s">
        <v>116</v>
      </c>
      <c r="N941" t="s">
        <v>124</v>
      </c>
    </row>
    <row r="942" spans="1:14">
      <c r="A942" s="20">
        <v>45569</v>
      </c>
      <c r="B942" t="s">
        <v>106</v>
      </c>
      <c r="C942" t="s">
        <v>94</v>
      </c>
      <c r="D942" t="s">
        <v>111</v>
      </c>
      <c r="E942">
        <v>33</v>
      </c>
      <c r="F942">
        <v>80</v>
      </c>
      <c r="G942">
        <v>80</v>
      </c>
      <c r="H942">
        <v>45</v>
      </c>
      <c r="I942" s="11">
        <v>6400</v>
      </c>
      <c r="J942" s="11">
        <v>3600</v>
      </c>
      <c r="K942" s="11">
        <v>2800</v>
      </c>
      <c r="L942" t="s">
        <v>87</v>
      </c>
      <c r="M942" t="s">
        <v>118</v>
      </c>
      <c r="N942" t="s">
        <v>124</v>
      </c>
    </row>
    <row r="943" spans="1:14">
      <c r="A943" s="20">
        <v>45362</v>
      </c>
      <c r="B943" t="s">
        <v>104</v>
      </c>
      <c r="C943" t="s">
        <v>96</v>
      </c>
      <c r="D943" t="s">
        <v>110</v>
      </c>
      <c r="E943">
        <v>36</v>
      </c>
      <c r="F943">
        <v>102</v>
      </c>
      <c r="G943">
        <v>90</v>
      </c>
      <c r="H943">
        <v>50</v>
      </c>
      <c r="I943" s="11">
        <v>9180</v>
      </c>
      <c r="J943" s="11">
        <v>5100</v>
      </c>
      <c r="K943" s="11">
        <v>4080</v>
      </c>
      <c r="L943" t="s">
        <v>80</v>
      </c>
      <c r="M943" t="s">
        <v>115</v>
      </c>
      <c r="N943" t="s">
        <v>125</v>
      </c>
    </row>
    <row r="944" spans="1:14">
      <c r="A944" s="20">
        <v>45595</v>
      </c>
      <c r="B944" t="s">
        <v>105</v>
      </c>
      <c r="C944" t="s">
        <v>93</v>
      </c>
      <c r="D944" t="s">
        <v>110</v>
      </c>
      <c r="E944">
        <v>30</v>
      </c>
      <c r="F944">
        <v>32</v>
      </c>
      <c r="G944">
        <v>100</v>
      </c>
      <c r="H944">
        <v>55</v>
      </c>
      <c r="I944" s="11">
        <v>3200</v>
      </c>
      <c r="J944" s="11">
        <v>1760</v>
      </c>
      <c r="K944" s="11">
        <v>1440</v>
      </c>
      <c r="L944" t="s">
        <v>87</v>
      </c>
      <c r="M944" t="s">
        <v>118</v>
      </c>
      <c r="N944" t="s">
        <v>123</v>
      </c>
    </row>
    <row r="945" spans="1:14">
      <c r="A945" s="20">
        <v>45314</v>
      </c>
      <c r="B945" t="s">
        <v>103</v>
      </c>
      <c r="C945" t="s">
        <v>95</v>
      </c>
      <c r="D945" t="s">
        <v>110</v>
      </c>
      <c r="E945">
        <v>18</v>
      </c>
      <c r="F945">
        <v>15</v>
      </c>
      <c r="G945">
        <v>110</v>
      </c>
      <c r="H945">
        <v>60</v>
      </c>
      <c r="I945" s="11">
        <v>1650</v>
      </c>
      <c r="J945" s="11">
        <v>900</v>
      </c>
      <c r="K945" s="11">
        <v>750</v>
      </c>
      <c r="L945" t="s">
        <v>78</v>
      </c>
      <c r="M945" t="s">
        <v>115</v>
      </c>
      <c r="N945" t="s">
        <v>122</v>
      </c>
    </row>
    <row r="946" spans="1:14">
      <c r="A946" s="20">
        <v>45445</v>
      </c>
      <c r="B946" t="s">
        <v>103</v>
      </c>
      <c r="C946" t="s">
        <v>94</v>
      </c>
      <c r="D946" t="s">
        <v>111</v>
      </c>
      <c r="E946">
        <v>41</v>
      </c>
      <c r="F946">
        <v>121</v>
      </c>
      <c r="G946">
        <v>80</v>
      </c>
      <c r="H946">
        <v>45</v>
      </c>
      <c r="I946" s="11">
        <v>9680</v>
      </c>
      <c r="J946" s="11">
        <v>5445</v>
      </c>
      <c r="K946" s="11">
        <v>4235</v>
      </c>
      <c r="L946" t="s">
        <v>83</v>
      </c>
      <c r="M946" t="s">
        <v>116</v>
      </c>
      <c r="N946" t="s">
        <v>125</v>
      </c>
    </row>
    <row r="947" spans="1:14">
      <c r="A947" s="20">
        <v>45326</v>
      </c>
      <c r="B947" t="s">
        <v>103</v>
      </c>
      <c r="C947" t="s">
        <v>93</v>
      </c>
      <c r="D947" t="s">
        <v>111</v>
      </c>
      <c r="E947">
        <v>32</v>
      </c>
      <c r="F947">
        <v>67</v>
      </c>
      <c r="G947">
        <v>100</v>
      </c>
      <c r="H947">
        <v>55</v>
      </c>
      <c r="I947" s="11">
        <v>6700</v>
      </c>
      <c r="J947" s="11">
        <v>3685</v>
      </c>
      <c r="K947" s="11">
        <v>3015</v>
      </c>
      <c r="L947" t="s">
        <v>79</v>
      </c>
      <c r="M947" t="s">
        <v>115</v>
      </c>
      <c r="N947" t="s">
        <v>124</v>
      </c>
    </row>
    <row r="948" spans="1:14">
      <c r="A948" s="20">
        <v>45529</v>
      </c>
      <c r="B948" t="s">
        <v>106</v>
      </c>
      <c r="C948" t="s">
        <v>96</v>
      </c>
      <c r="D948" t="s">
        <v>110</v>
      </c>
      <c r="E948">
        <v>28</v>
      </c>
      <c r="F948">
        <v>96</v>
      </c>
      <c r="G948">
        <v>90</v>
      </c>
      <c r="H948">
        <v>50</v>
      </c>
      <c r="I948" s="11">
        <v>8640</v>
      </c>
      <c r="J948" s="11">
        <v>4800</v>
      </c>
      <c r="K948" s="11">
        <v>3840</v>
      </c>
      <c r="L948" t="s">
        <v>85</v>
      </c>
      <c r="M948" t="s">
        <v>117</v>
      </c>
      <c r="N948" t="s">
        <v>123</v>
      </c>
    </row>
    <row r="949" spans="1:14">
      <c r="A949" s="20">
        <v>45548</v>
      </c>
      <c r="B949" t="s">
        <v>105</v>
      </c>
      <c r="C949" t="s">
        <v>96</v>
      </c>
      <c r="D949" t="s">
        <v>110</v>
      </c>
      <c r="E949">
        <v>27</v>
      </c>
      <c r="F949">
        <v>33</v>
      </c>
      <c r="G949">
        <v>90</v>
      </c>
      <c r="H949">
        <v>50</v>
      </c>
      <c r="I949" s="11">
        <v>2970</v>
      </c>
      <c r="J949" s="11">
        <v>1650</v>
      </c>
      <c r="K949" s="11">
        <v>1320</v>
      </c>
      <c r="L949" t="s">
        <v>86</v>
      </c>
      <c r="M949" t="s">
        <v>117</v>
      </c>
      <c r="N949" t="s">
        <v>123</v>
      </c>
    </row>
    <row r="950" spans="1:14">
      <c r="A950" s="20">
        <v>45488</v>
      </c>
      <c r="B950" t="s">
        <v>103</v>
      </c>
      <c r="C950" t="s">
        <v>94</v>
      </c>
      <c r="D950" t="s">
        <v>111</v>
      </c>
      <c r="E950">
        <v>33</v>
      </c>
      <c r="F950">
        <v>35</v>
      </c>
      <c r="G950">
        <v>80</v>
      </c>
      <c r="H950">
        <v>45</v>
      </c>
      <c r="I950" s="11">
        <v>2800</v>
      </c>
      <c r="J950" s="11">
        <v>1575</v>
      </c>
      <c r="K950" s="11">
        <v>1225</v>
      </c>
      <c r="L950" t="s">
        <v>84</v>
      </c>
      <c r="M950" t="s">
        <v>117</v>
      </c>
      <c r="N950" t="s">
        <v>124</v>
      </c>
    </row>
    <row r="951" spans="1:14">
      <c r="A951" s="20">
        <v>45416</v>
      </c>
      <c r="B951" t="s">
        <v>105</v>
      </c>
      <c r="C951" t="s">
        <v>95</v>
      </c>
      <c r="D951" t="s">
        <v>111</v>
      </c>
      <c r="E951">
        <v>33</v>
      </c>
      <c r="F951">
        <v>122</v>
      </c>
      <c r="G951">
        <v>110</v>
      </c>
      <c r="H951">
        <v>60</v>
      </c>
      <c r="I951" s="11">
        <v>13420</v>
      </c>
      <c r="J951" s="11">
        <v>7320</v>
      </c>
      <c r="K951" s="11">
        <v>6100</v>
      </c>
      <c r="L951" t="s">
        <v>82</v>
      </c>
      <c r="M951" t="s">
        <v>116</v>
      </c>
      <c r="N951" t="s">
        <v>124</v>
      </c>
    </row>
    <row r="952" spans="1:14">
      <c r="A952" s="20">
        <v>45299</v>
      </c>
      <c r="B952" t="s">
        <v>103</v>
      </c>
      <c r="C952" t="s">
        <v>93</v>
      </c>
      <c r="D952" t="s">
        <v>111</v>
      </c>
      <c r="E952">
        <v>21</v>
      </c>
      <c r="F952">
        <v>30</v>
      </c>
      <c r="G952">
        <v>100</v>
      </c>
      <c r="H952">
        <v>55</v>
      </c>
      <c r="I952" s="11">
        <v>3000</v>
      </c>
      <c r="J952" s="11">
        <v>1650</v>
      </c>
      <c r="K952" s="11">
        <v>1350</v>
      </c>
      <c r="L952" t="s">
        <v>78</v>
      </c>
      <c r="M952" t="s">
        <v>115</v>
      </c>
      <c r="N952" t="s">
        <v>122</v>
      </c>
    </row>
    <row r="953" spans="1:14">
      <c r="A953" s="20">
        <v>45403</v>
      </c>
      <c r="B953" t="s">
        <v>103</v>
      </c>
      <c r="C953" t="s">
        <v>94</v>
      </c>
      <c r="D953" t="s">
        <v>110</v>
      </c>
      <c r="E953">
        <v>37</v>
      </c>
      <c r="F953">
        <v>63</v>
      </c>
      <c r="G953">
        <v>80</v>
      </c>
      <c r="H953">
        <v>45</v>
      </c>
      <c r="I953" s="11">
        <v>5040</v>
      </c>
      <c r="J953" s="11">
        <v>2835</v>
      </c>
      <c r="K953" s="11">
        <v>2205</v>
      </c>
      <c r="L953" t="s">
        <v>81</v>
      </c>
      <c r="M953" t="s">
        <v>116</v>
      </c>
      <c r="N953" t="s">
        <v>125</v>
      </c>
    </row>
    <row r="954" spans="1:14">
      <c r="A954" s="20">
        <v>45533</v>
      </c>
      <c r="B954" t="s">
        <v>104</v>
      </c>
      <c r="C954" t="s">
        <v>93</v>
      </c>
      <c r="D954" t="s">
        <v>110</v>
      </c>
      <c r="E954">
        <v>29</v>
      </c>
      <c r="F954">
        <v>68</v>
      </c>
      <c r="G954">
        <v>100</v>
      </c>
      <c r="H954">
        <v>55</v>
      </c>
      <c r="I954" s="11">
        <v>6800</v>
      </c>
      <c r="J954" s="11">
        <v>3740</v>
      </c>
      <c r="K954" s="11">
        <v>3060</v>
      </c>
      <c r="L954" t="s">
        <v>85</v>
      </c>
      <c r="M954" t="s">
        <v>117</v>
      </c>
      <c r="N954" t="s">
        <v>123</v>
      </c>
    </row>
    <row r="955" spans="1:14">
      <c r="A955" s="20">
        <v>45507</v>
      </c>
      <c r="B955" t="s">
        <v>103</v>
      </c>
      <c r="C955" t="s">
        <v>93</v>
      </c>
      <c r="D955" t="s">
        <v>111</v>
      </c>
      <c r="E955">
        <v>31</v>
      </c>
      <c r="F955">
        <v>67</v>
      </c>
      <c r="G955">
        <v>100</v>
      </c>
      <c r="H955">
        <v>55</v>
      </c>
      <c r="I955" s="11">
        <v>6700</v>
      </c>
      <c r="J955" s="11">
        <v>3685</v>
      </c>
      <c r="K955" s="11">
        <v>3015</v>
      </c>
      <c r="L955" t="s">
        <v>85</v>
      </c>
      <c r="M955" t="s">
        <v>117</v>
      </c>
      <c r="N955" t="s">
        <v>124</v>
      </c>
    </row>
    <row r="956" spans="1:14">
      <c r="A956" s="20">
        <v>45480</v>
      </c>
      <c r="B956" t="s">
        <v>103</v>
      </c>
      <c r="C956" t="s">
        <v>93</v>
      </c>
      <c r="D956" t="s">
        <v>112</v>
      </c>
      <c r="E956">
        <v>26</v>
      </c>
      <c r="F956">
        <v>35</v>
      </c>
      <c r="G956">
        <v>100</v>
      </c>
      <c r="H956">
        <v>55</v>
      </c>
      <c r="I956" s="11">
        <v>3500</v>
      </c>
      <c r="J956" s="11">
        <v>1925</v>
      </c>
      <c r="K956" s="11">
        <v>1575</v>
      </c>
      <c r="L956" t="s">
        <v>84</v>
      </c>
      <c r="M956" t="s">
        <v>117</v>
      </c>
      <c r="N956" t="s">
        <v>123</v>
      </c>
    </row>
    <row r="957" spans="1:14">
      <c r="A957" s="20">
        <v>45342</v>
      </c>
      <c r="B957" t="s">
        <v>104</v>
      </c>
      <c r="C957" t="s">
        <v>95</v>
      </c>
      <c r="D957" t="s">
        <v>110</v>
      </c>
      <c r="E957">
        <v>30</v>
      </c>
      <c r="F957">
        <v>101</v>
      </c>
      <c r="G957">
        <v>110</v>
      </c>
      <c r="H957">
        <v>60</v>
      </c>
      <c r="I957" s="11">
        <v>11110</v>
      </c>
      <c r="J957" s="11">
        <v>6060</v>
      </c>
      <c r="K957" s="11">
        <v>5050</v>
      </c>
      <c r="L957" t="s">
        <v>79</v>
      </c>
      <c r="M957" t="s">
        <v>115</v>
      </c>
      <c r="N957" t="s">
        <v>123</v>
      </c>
    </row>
    <row r="958" spans="1:14">
      <c r="A958" s="20">
        <v>45539</v>
      </c>
      <c r="B958" t="s">
        <v>103</v>
      </c>
      <c r="C958" t="s">
        <v>94</v>
      </c>
      <c r="D958" t="s">
        <v>110</v>
      </c>
      <c r="E958">
        <v>27</v>
      </c>
      <c r="F958">
        <v>62</v>
      </c>
      <c r="G958">
        <v>80</v>
      </c>
      <c r="H958">
        <v>45</v>
      </c>
      <c r="I958" s="11">
        <v>4960</v>
      </c>
      <c r="J958" s="11">
        <v>2790</v>
      </c>
      <c r="K958" s="11">
        <v>2170</v>
      </c>
      <c r="L958" t="s">
        <v>86</v>
      </c>
      <c r="M958" t="s">
        <v>117</v>
      </c>
      <c r="N958" t="s">
        <v>123</v>
      </c>
    </row>
    <row r="959" spans="1:14">
      <c r="A959" s="20">
        <v>45511</v>
      </c>
      <c r="B959" t="s">
        <v>106</v>
      </c>
      <c r="C959" t="s">
        <v>94</v>
      </c>
      <c r="D959" t="s">
        <v>110</v>
      </c>
      <c r="E959">
        <v>34</v>
      </c>
      <c r="F959">
        <v>56</v>
      </c>
      <c r="G959">
        <v>80</v>
      </c>
      <c r="H959">
        <v>45</v>
      </c>
      <c r="I959" s="11">
        <v>4480</v>
      </c>
      <c r="J959" s="11">
        <v>2520</v>
      </c>
      <c r="K959" s="11">
        <v>1960</v>
      </c>
      <c r="L959" t="s">
        <v>85</v>
      </c>
      <c r="M959" t="s">
        <v>117</v>
      </c>
      <c r="N959" t="s">
        <v>124</v>
      </c>
    </row>
    <row r="960" spans="1:14">
      <c r="A960" s="20">
        <v>45471</v>
      </c>
      <c r="B960" t="s">
        <v>106</v>
      </c>
      <c r="C960" t="s">
        <v>93</v>
      </c>
      <c r="D960" t="s">
        <v>110</v>
      </c>
      <c r="E960">
        <v>33</v>
      </c>
      <c r="F960">
        <v>72</v>
      </c>
      <c r="G960">
        <v>100</v>
      </c>
      <c r="H960">
        <v>55</v>
      </c>
      <c r="I960" s="11">
        <v>7200</v>
      </c>
      <c r="J960" s="11">
        <v>3960</v>
      </c>
      <c r="K960" s="11">
        <v>3240</v>
      </c>
      <c r="L960" t="s">
        <v>83</v>
      </c>
      <c r="M960" t="s">
        <v>116</v>
      </c>
      <c r="N960" t="s">
        <v>124</v>
      </c>
    </row>
    <row r="961" spans="1:14">
      <c r="A961" s="20">
        <v>45348</v>
      </c>
      <c r="B961" t="s">
        <v>106</v>
      </c>
      <c r="C961" t="s">
        <v>94</v>
      </c>
      <c r="D961" t="s">
        <v>110</v>
      </c>
      <c r="E961">
        <v>32</v>
      </c>
      <c r="F961">
        <v>93</v>
      </c>
      <c r="G961">
        <v>80</v>
      </c>
      <c r="H961">
        <v>45</v>
      </c>
      <c r="I961" s="11">
        <v>7440</v>
      </c>
      <c r="J961" s="11">
        <v>4185</v>
      </c>
      <c r="K961" s="11">
        <v>3255</v>
      </c>
      <c r="L961" t="s">
        <v>79</v>
      </c>
      <c r="M961" t="s">
        <v>115</v>
      </c>
      <c r="N961" t="s">
        <v>124</v>
      </c>
    </row>
    <row r="962" spans="1:14">
      <c r="A962" s="20">
        <v>45523</v>
      </c>
      <c r="B962" t="s">
        <v>103</v>
      </c>
      <c r="C962" t="s">
        <v>97</v>
      </c>
      <c r="D962" t="s">
        <v>110</v>
      </c>
      <c r="E962">
        <v>28</v>
      </c>
      <c r="F962">
        <v>64</v>
      </c>
      <c r="G962">
        <v>130</v>
      </c>
      <c r="H962">
        <v>70</v>
      </c>
      <c r="I962" s="11">
        <v>8320</v>
      </c>
      <c r="J962" s="11">
        <v>4480</v>
      </c>
      <c r="K962" s="11">
        <v>3840</v>
      </c>
      <c r="L962" t="s">
        <v>85</v>
      </c>
      <c r="M962" t="s">
        <v>117</v>
      </c>
      <c r="N962" t="s">
        <v>123</v>
      </c>
    </row>
    <row r="963" spans="1:14">
      <c r="A963" s="20">
        <v>45537</v>
      </c>
      <c r="B963" t="s">
        <v>104</v>
      </c>
      <c r="C963" t="s">
        <v>95</v>
      </c>
      <c r="D963" t="s">
        <v>111</v>
      </c>
      <c r="E963">
        <v>30</v>
      </c>
      <c r="F963">
        <v>59</v>
      </c>
      <c r="G963">
        <v>110</v>
      </c>
      <c r="H963">
        <v>60</v>
      </c>
      <c r="I963" s="11">
        <v>6490</v>
      </c>
      <c r="J963" s="11">
        <v>3540</v>
      </c>
      <c r="K963" s="11">
        <v>2950</v>
      </c>
      <c r="L963" t="s">
        <v>86</v>
      </c>
      <c r="M963" t="s">
        <v>117</v>
      </c>
      <c r="N963" t="s">
        <v>123</v>
      </c>
    </row>
    <row r="964" spans="1:14">
      <c r="A964" s="20">
        <v>45634</v>
      </c>
      <c r="B964" t="s">
        <v>106</v>
      </c>
      <c r="C964" t="s">
        <v>95</v>
      </c>
      <c r="D964" t="s">
        <v>112</v>
      </c>
      <c r="E964">
        <v>18</v>
      </c>
      <c r="F964">
        <v>45</v>
      </c>
      <c r="G964">
        <v>110</v>
      </c>
      <c r="H964">
        <v>60</v>
      </c>
      <c r="I964" s="11">
        <v>4950</v>
      </c>
      <c r="J964" s="11">
        <v>2700</v>
      </c>
      <c r="K964" s="11">
        <v>2250</v>
      </c>
      <c r="L964" t="s">
        <v>89</v>
      </c>
      <c r="M964" t="s">
        <v>118</v>
      </c>
      <c r="N964" t="s">
        <v>122</v>
      </c>
    </row>
    <row r="965" spans="1:14">
      <c r="A965" s="20">
        <v>45304</v>
      </c>
      <c r="B965" t="s">
        <v>103</v>
      </c>
      <c r="C965" t="s">
        <v>95</v>
      </c>
      <c r="D965" t="s">
        <v>111</v>
      </c>
      <c r="E965">
        <v>20</v>
      </c>
      <c r="F965">
        <v>46</v>
      </c>
      <c r="G965">
        <v>110</v>
      </c>
      <c r="H965">
        <v>60</v>
      </c>
      <c r="I965" s="11">
        <v>5060</v>
      </c>
      <c r="J965" s="11">
        <v>2760</v>
      </c>
      <c r="K965" s="11">
        <v>2300</v>
      </c>
      <c r="L965" t="s">
        <v>78</v>
      </c>
      <c r="M965" t="s">
        <v>115</v>
      </c>
      <c r="N965" t="s">
        <v>122</v>
      </c>
    </row>
    <row r="966" spans="1:14">
      <c r="A966" s="20">
        <v>45570</v>
      </c>
      <c r="B966" t="s">
        <v>103</v>
      </c>
      <c r="C966" t="s">
        <v>93</v>
      </c>
      <c r="D966" t="s">
        <v>110</v>
      </c>
      <c r="E966">
        <v>30</v>
      </c>
      <c r="F966">
        <v>63</v>
      </c>
      <c r="G966">
        <v>100</v>
      </c>
      <c r="H966">
        <v>55</v>
      </c>
      <c r="I966" s="11">
        <v>6300</v>
      </c>
      <c r="J966" s="11">
        <v>3465</v>
      </c>
      <c r="K966" s="11">
        <v>2835</v>
      </c>
      <c r="L966" t="s">
        <v>87</v>
      </c>
      <c r="M966" t="s">
        <v>118</v>
      </c>
      <c r="N966" t="s">
        <v>123</v>
      </c>
    </row>
    <row r="967" spans="1:14">
      <c r="A967" s="20">
        <v>45309</v>
      </c>
      <c r="B967" t="s">
        <v>105</v>
      </c>
      <c r="C967" t="s">
        <v>97</v>
      </c>
      <c r="D967" t="s">
        <v>111</v>
      </c>
      <c r="E967">
        <v>20</v>
      </c>
      <c r="F967">
        <v>22</v>
      </c>
      <c r="G967">
        <v>130</v>
      </c>
      <c r="H967">
        <v>70</v>
      </c>
      <c r="I967" s="11">
        <v>2860</v>
      </c>
      <c r="J967" s="11">
        <v>1540</v>
      </c>
      <c r="K967" s="11">
        <v>1320</v>
      </c>
      <c r="L967" t="s">
        <v>78</v>
      </c>
      <c r="M967" t="s">
        <v>115</v>
      </c>
      <c r="N967" t="s">
        <v>122</v>
      </c>
    </row>
    <row r="968" spans="1:14">
      <c r="A968" s="20">
        <v>45576</v>
      </c>
      <c r="B968" t="s">
        <v>104</v>
      </c>
      <c r="C968" t="s">
        <v>94</v>
      </c>
      <c r="D968" t="s">
        <v>110</v>
      </c>
      <c r="E968">
        <v>27</v>
      </c>
      <c r="F968">
        <v>105</v>
      </c>
      <c r="G968">
        <v>80</v>
      </c>
      <c r="H968">
        <v>45</v>
      </c>
      <c r="I968" s="11">
        <v>8400</v>
      </c>
      <c r="J968" s="11">
        <v>4725</v>
      </c>
      <c r="K968" s="11">
        <v>3675</v>
      </c>
      <c r="L968" t="s">
        <v>87</v>
      </c>
      <c r="M968" t="s">
        <v>118</v>
      </c>
      <c r="N968" t="s">
        <v>123</v>
      </c>
    </row>
    <row r="969" spans="1:14">
      <c r="A969" s="20">
        <v>45399</v>
      </c>
      <c r="B969" t="s">
        <v>104</v>
      </c>
      <c r="C969" t="s">
        <v>97</v>
      </c>
      <c r="D969" t="s">
        <v>111</v>
      </c>
      <c r="E969">
        <v>36</v>
      </c>
      <c r="F969">
        <v>51</v>
      </c>
      <c r="G969">
        <v>130</v>
      </c>
      <c r="H969">
        <v>70</v>
      </c>
      <c r="I969" s="11">
        <v>6630</v>
      </c>
      <c r="J969" s="11">
        <v>3570</v>
      </c>
      <c r="K969" s="11">
        <v>3060</v>
      </c>
      <c r="L969" t="s">
        <v>81</v>
      </c>
      <c r="M969" t="s">
        <v>116</v>
      </c>
      <c r="N969" t="s">
        <v>125</v>
      </c>
    </row>
    <row r="970" spans="1:14">
      <c r="A970" s="20">
        <v>45573</v>
      </c>
      <c r="B970" t="s">
        <v>103</v>
      </c>
      <c r="C970" t="s">
        <v>98</v>
      </c>
      <c r="D970" t="s">
        <v>110</v>
      </c>
      <c r="E970">
        <v>34</v>
      </c>
      <c r="F970">
        <v>89</v>
      </c>
      <c r="G970">
        <v>100</v>
      </c>
      <c r="H970">
        <v>55</v>
      </c>
      <c r="I970" s="11">
        <v>8900</v>
      </c>
      <c r="J970" s="11">
        <v>4895</v>
      </c>
      <c r="K970" s="11">
        <v>4005</v>
      </c>
      <c r="L970" t="s">
        <v>87</v>
      </c>
      <c r="M970" t="s">
        <v>118</v>
      </c>
      <c r="N970" t="s">
        <v>124</v>
      </c>
    </row>
    <row r="971" spans="1:14">
      <c r="A971" s="20">
        <v>45323</v>
      </c>
      <c r="B971" t="s">
        <v>104</v>
      </c>
      <c r="C971" t="s">
        <v>94</v>
      </c>
      <c r="D971" t="s">
        <v>110</v>
      </c>
      <c r="E971">
        <v>34</v>
      </c>
      <c r="F971">
        <v>81</v>
      </c>
      <c r="G971">
        <v>80</v>
      </c>
      <c r="H971">
        <v>45</v>
      </c>
      <c r="I971" s="11">
        <v>6480</v>
      </c>
      <c r="J971" s="11">
        <v>3645</v>
      </c>
      <c r="K971" s="11">
        <v>2835</v>
      </c>
      <c r="L971" t="s">
        <v>79</v>
      </c>
      <c r="M971" t="s">
        <v>115</v>
      </c>
      <c r="N971" t="s">
        <v>124</v>
      </c>
    </row>
    <row r="972" spans="1:14">
      <c r="A972" s="20">
        <v>45472</v>
      </c>
      <c r="B972" t="s">
        <v>106</v>
      </c>
      <c r="C972" t="s">
        <v>93</v>
      </c>
      <c r="D972" t="s">
        <v>110</v>
      </c>
      <c r="E972">
        <v>39</v>
      </c>
      <c r="F972">
        <v>56</v>
      </c>
      <c r="G972">
        <v>100</v>
      </c>
      <c r="H972">
        <v>55</v>
      </c>
      <c r="I972" s="11">
        <v>5600</v>
      </c>
      <c r="J972" s="11">
        <v>3080</v>
      </c>
      <c r="K972" s="11">
        <v>2520</v>
      </c>
      <c r="L972" t="s">
        <v>83</v>
      </c>
      <c r="M972" t="s">
        <v>116</v>
      </c>
      <c r="N972" t="s">
        <v>125</v>
      </c>
    </row>
    <row r="973" spans="1:14">
      <c r="A973" s="20">
        <v>45646</v>
      </c>
      <c r="B973" t="s">
        <v>103</v>
      </c>
      <c r="C973" t="s">
        <v>93</v>
      </c>
      <c r="D973" t="s">
        <v>111</v>
      </c>
      <c r="E973">
        <v>21</v>
      </c>
      <c r="F973">
        <v>10</v>
      </c>
      <c r="G973">
        <v>100</v>
      </c>
      <c r="H973">
        <v>55</v>
      </c>
      <c r="I973" s="11">
        <v>1000</v>
      </c>
      <c r="J973" s="11">
        <v>550</v>
      </c>
      <c r="K973" s="11">
        <v>450</v>
      </c>
      <c r="L973" t="s">
        <v>89</v>
      </c>
      <c r="M973" t="s">
        <v>118</v>
      </c>
      <c r="N973" t="s">
        <v>122</v>
      </c>
    </row>
    <row r="974" spans="1:14">
      <c r="A974" s="20">
        <v>45302</v>
      </c>
      <c r="B974" t="s">
        <v>106</v>
      </c>
      <c r="C974" t="s">
        <v>95</v>
      </c>
      <c r="D974" t="s">
        <v>112</v>
      </c>
      <c r="E974">
        <v>18</v>
      </c>
      <c r="F974">
        <v>30</v>
      </c>
      <c r="G974">
        <v>110</v>
      </c>
      <c r="H974">
        <v>60</v>
      </c>
      <c r="I974" s="11">
        <v>3300</v>
      </c>
      <c r="J974" s="11">
        <v>1800</v>
      </c>
      <c r="K974" s="11">
        <v>1500</v>
      </c>
      <c r="L974" t="s">
        <v>78</v>
      </c>
      <c r="M974" t="s">
        <v>115</v>
      </c>
      <c r="N974" t="s">
        <v>122</v>
      </c>
    </row>
    <row r="975" spans="1:14">
      <c r="A975" s="20">
        <v>45510</v>
      </c>
      <c r="B975" t="s">
        <v>103</v>
      </c>
      <c r="C975" t="s">
        <v>98</v>
      </c>
      <c r="D975" t="s">
        <v>112</v>
      </c>
      <c r="E975">
        <v>29</v>
      </c>
      <c r="F975">
        <v>90</v>
      </c>
      <c r="G975">
        <v>100</v>
      </c>
      <c r="H975">
        <v>55</v>
      </c>
      <c r="I975" s="11">
        <v>9000</v>
      </c>
      <c r="J975" s="11">
        <v>4950</v>
      </c>
      <c r="K975" s="11">
        <v>4050</v>
      </c>
      <c r="L975" t="s">
        <v>85</v>
      </c>
      <c r="M975" t="s">
        <v>117</v>
      </c>
      <c r="N975" t="s">
        <v>123</v>
      </c>
    </row>
    <row r="976" spans="1:14">
      <c r="A976" s="20">
        <v>45395</v>
      </c>
      <c r="B976" t="s">
        <v>103</v>
      </c>
      <c r="C976" t="s">
        <v>96</v>
      </c>
      <c r="D976" t="s">
        <v>110</v>
      </c>
      <c r="E976">
        <v>41</v>
      </c>
      <c r="F976">
        <v>189</v>
      </c>
      <c r="G976">
        <v>90</v>
      </c>
      <c r="H976">
        <v>50</v>
      </c>
      <c r="I976" s="11">
        <v>17010</v>
      </c>
      <c r="J976" s="11">
        <v>9450</v>
      </c>
      <c r="K976" s="11">
        <v>7560</v>
      </c>
      <c r="L976" t="s">
        <v>81</v>
      </c>
      <c r="M976" t="s">
        <v>116</v>
      </c>
      <c r="N976" t="s">
        <v>125</v>
      </c>
    </row>
    <row r="977" spans="1:14">
      <c r="A977" s="20">
        <v>45648</v>
      </c>
      <c r="B977" t="s">
        <v>103</v>
      </c>
      <c r="C977" t="s">
        <v>93</v>
      </c>
      <c r="D977" t="s">
        <v>111</v>
      </c>
      <c r="E977">
        <v>23</v>
      </c>
      <c r="F977">
        <v>14</v>
      </c>
      <c r="G977">
        <v>100</v>
      </c>
      <c r="H977">
        <v>55</v>
      </c>
      <c r="I977" s="11">
        <v>1400</v>
      </c>
      <c r="J977" s="11">
        <v>770</v>
      </c>
      <c r="K977" s="11">
        <v>630</v>
      </c>
      <c r="L977" t="s">
        <v>89</v>
      </c>
      <c r="M977" t="s">
        <v>118</v>
      </c>
      <c r="N977" t="s">
        <v>122</v>
      </c>
    </row>
    <row r="978" spans="1:14">
      <c r="A978" s="20">
        <v>45535</v>
      </c>
      <c r="B978" t="s">
        <v>106</v>
      </c>
      <c r="C978" t="s">
        <v>93</v>
      </c>
      <c r="D978" t="s">
        <v>110</v>
      </c>
      <c r="E978">
        <v>32</v>
      </c>
      <c r="F978">
        <v>106</v>
      </c>
      <c r="G978">
        <v>100</v>
      </c>
      <c r="H978">
        <v>55</v>
      </c>
      <c r="I978" s="11">
        <v>10600</v>
      </c>
      <c r="J978" s="11">
        <v>5830</v>
      </c>
      <c r="K978" s="11">
        <v>4770</v>
      </c>
      <c r="L978" t="s">
        <v>85</v>
      </c>
      <c r="M978" t="s">
        <v>117</v>
      </c>
      <c r="N978" t="s">
        <v>124</v>
      </c>
    </row>
    <row r="979" spans="1:14">
      <c r="A979" s="20">
        <v>45397</v>
      </c>
      <c r="B979" t="s">
        <v>106</v>
      </c>
      <c r="C979" t="s">
        <v>93</v>
      </c>
      <c r="D979" t="s">
        <v>110</v>
      </c>
      <c r="E979">
        <v>36</v>
      </c>
      <c r="F979">
        <v>117</v>
      </c>
      <c r="G979">
        <v>100</v>
      </c>
      <c r="H979">
        <v>55</v>
      </c>
      <c r="I979" s="11">
        <v>11700</v>
      </c>
      <c r="J979" s="11">
        <v>6435</v>
      </c>
      <c r="K979" s="11">
        <v>5265</v>
      </c>
      <c r="L979" t="s">
        <v>81</v>
      </c>
      <c r="M979" t="s">
        <v>116</v>
      </c>
      <c r="N979" t="s">
        <v>125</v>
      </c>
    </row>
    <row r="980" spans="1:14">
      <c r="A980" s="20">
        <v>45324</v>
      </c>
      <c r="B980" t="s">
        <v>105</v>
      </c>
      <c r="C980" t="s">
        <v>94</v>
      </c>
      <c r="D980" t="s">
        <v>112</v>
      </c>
      <c r="E980">
        <v>34</v>
      </c>
      <c r="F980">
        <v>80</v>
      </c>
      <c r="G980">
        <v>80</v>
      </c>
      <c r="H980">
        <v>45</v>
      </c>
      <c r="I980" s="11">
        <v>6400</v>
      </c>
      <c r="J980" s="11">
        <v>3600</v>
      </c>
      <c r="K980" s="11">
        <v>2800</v>
      </c>
      <c r="L980" t="s">
        <v>79</v>
      </c>
      <c r="M980" t="s">
        <v>115</v>
      </c>
      <c r="N980" t="s">
        <v>124</v>
      </c>
    </row>
    <row r="981" spans="1:14">
      <c r="A981" s="20">
        <v>45434</v>
      </c>
      <c r="B981" t="s">
        <v>103</v>
      </c>
      <c r="C981" t="s">
        <v>95</v>
      </c>
      <c r="D981" t="s">
        <v>110</v>
      </c>
      <c r="E981">
        <v>41</v>
      </c>
      <c r="F981">
        <v>100</v>
      </c>
      <c r="G981">
        <v>110</v>
      </c>
      <c r="H981">
        <v>60</v>
      </c>
      <c r="I981" s="11">
        <v>11000</v>
      </c>
      <c r="J981" s="11">
        <v>6000</v>
      </c>
      <c r="K981" s="11">
        <v>5000</v>
      </c>
      <c r="L981" t="s">
        <v>82</v>
      </c>
      <c r="M981" t="s">
        <v>116</v>
      </c>
      <c r="N981" t="s">
        <v>125</v>
      </c>
    </row>
    <row r="982" spans="1:14">
      <c r="A982" s="20">
        <v>45295</v>
      </c>
      <c r="B982" t="s">
        <v>103</v>
      </c>
      <c r="C982" t="s">
        <v>97</v>
      </c>
      <c r="D982" t="s">
        <v>110</v>
      </c>
      <c r="E982">
        <v>19</v>
      </c>
      <c r="F982">
        <v>32</v>
      </c>
      <c r="G982">
        <v>130</v>
      </c>
      <c r="H982">
        <v>70</v>
      </c>
      <c r="I982" s="11">
        <v>4160</v>
      </c>
      <c r="J982" s="11">
        <v>2240</v>
      </c>
      <c r="K982" s="11">
        <v>1920</v>
      </c>
      <c r="L982" t="s">
        <v>78</v>
      </c>
      <c r="M982" t="s">
        <v>115</v>
      </c>
      <c r="N982" t="s">
        <v>122</v>
      </c>
    </row>
    <row r="983" spans="1:14">
      <c r="A983" s="20">
        <v>45392</v>
      </c>
      <c r="B983" t="s">
        <v>106</v>
      </c>
      <c r="C983" t="s">
        <v>93</v>
      </c>
      <c r="D983" t="s">
        <v>110</v>
      </c>
      <c r="E983">
        <v>40</v>
      </c>
      <c r="F983">
        <v>112</v>
      </c>
      <c r="G983">
        <v>100</v>
      </c>
      <c r="H983">
        <v>55</v>
      </c>
      <c r="I983" s="11">
        <v>11200</v>
      </c>
      <c r="J983" s="11">
        <v>6160</v>
      </c>
      <c r="K983" s="11">
        <v>5040</v>
      </c>
      <c r="L983" t="s">
        <v>81</v>
      </c>
      <c r="M983" t="s">
        <v>116</v>
      </c>
      <c r="N983" t="s">
        <v>125</v>
      </c>
    </row>
    <row r="984" spans="1:14">
      <c r="A984" s="20">
        <v>45517</v>
      </c>
      <c r="B984" t="s">
        <v>104</v>
      </c>
      <c r="C984" t="s">
        <v>95</v>
      </c>
      <c r="D984" t="s">
        <v>111</v>
      </c>
      <c r="E984">
        <v>27</v>
      </c>
      <c r="F984">
        <v>74</v>
      </c>
      <c r="G984">
        <v>110</v>
      </c>
      <c r="H984">
        <v>60</v>
      </c>
      <c r="I984" s="11">
        <v>8140</v>
      </c>
      <c r="J984" s="11">
        <v>4440</v>
      </c>
      <c r="K984" s="11">
        <v>3700</v>
      </c>
      <c r="L984" t="s">
        <v>85</v>
      </c>
      <c r="M984" t="s">
        <v>117</v>
      </c>
      <c r="N984" t="s">
        <v>123</v>
      </c>
    </row>
    <row r="985" spans="1:14">
      <c r="A985" s="20">
        <v>45498</v>
      </c>
      <c r="B985" t="s">
        <v>106</v>
      </c>
      <c r="C985" t="s">
        <v>93</v>
      </c>
      <c r="D985" t="s">
        <v>110</v>
      </c>
      <c r="E985">
        <v>32</v>
      </c>
      <c r="F985">
        <v>30</v>
      </c>
      <c r="G985">
        <v>100</v>
      </c>
      <c r="H985">
        <v>55</v>
      </c>
      <c r="I985" s="11">
        <v>3000</v>
      </c>
      <c r="J985" s="11">
        <v>1650</v>
      </c>
      <c r="K985" s="11">
        <v>1350</v>
      </c>
      <c r="L985" t="s">
        <v>84</v>
      </c>
      <c r="M985" t="s">
        <v>117</v>
      </c>
      <c r="N985" t="s">
        <v>124</v>
      </c>
    </row>
    <row r="986" spans="1:14">
      <c r="A986" s="20">
        <v>45643</v>
      </c>
      <c r="B986" t="s">
        <v>104</v>
      </c>
      <c r="C986" t="s">
        <v>93</v>
      </c>
      <c r="D986" t="s">
        <v>110</v>
      </c>
      <c r="E986">
        <v>27</v>
      </c>
      <c r="F986">
        <v>44</v>
      </c>
      <c r="G986">
        <v>100</v>
      </c>
      <c r="H986">
        <v>55</v>
      </c>
      <c r="I986" s="11">
        <v>4400</v>
      </c>
      <c r="J986" s="11">
        <v>2420</v>
      </c>
      <c r="K986" s="11">
        <v>1980</v>
      </c>
      <c r="L986" t="s">
        <v>89</v>
      </c>
      <c r="M986" t="s">
        <v>118</v>
      </c>
      <c r="N986" t="s">
        <v>123</v>
      </c>
    </row>
    <row r="987" spans="1:14">
      <c r="A987" s="20">
        <v>45537</v>
      </c>
      <c r="B987" t="s">
        <v>104</v>
      </c>
      <c r="C987" t="s">
        <v>94</v>
      </c>
      <c r="D987" t="s">
        <v>111</v>
      </c>
      <c r="E987">
        <v>29</v>
      </c>
      <c r="F987">
        <v>51</v>
      </c>
      <c r="G987">
        <v>80</v>
      </c>
      <c r="H987">
        <v>45</v>
      </c>
      <c r="I987" s="11">
        <v>4080</v>
      </c>
      <c r="J987" s="11">
        <v>2295</v>
      </c>
      <c r="K987" s="11">
        <v>1785</v>
      </c>
      <c r="L987" t="s">
        <v>86</v>
      </c>
      <c r="M987" t="s">
        <v>117</v>
      </c>
      <c r="N987" t="s">
        <v>123</v>
      </c>
    </row>
    <row r="988" spans="1:14">
      <c r="A988" s="20">
        <v>45350</v>
      </c>
      <c r="B988" t="s">
        <v>104</v>
      </c>
      <c r="C988" t="s">
        <v>93</v>
      </c>
      <c r="D988" t="s">
        <v>110</v>
      </c>
      <c r="E988">
        <v>33</v>
      </c>
      <c r="F988">
        <v>60</v>
      </c>
      <c r="G988">
        <v>100</v>
      </c>
      <c r="H988">
        <v>55</v>
      </c>
      <c r="I988" s="11">
        <v>6000</v>
      </c>
      <c r="J988" s="11">
        <v>3300</v>
      </c>
      <c r="K988" s="11">
        <v>2700</v>
      </c>
      <c r="L988" t="s">
        <v>79</v>
      </c>
      <c r="M988" t="s">
        <v>115</v>
      </c>
      <c r="N988" t="s">
        <v>124</v>
      </c>
    </row>
    <row r="989" spans="1:14">
      <c r="A989" s="20">
        <v>45339</v>
      </c>
      <c r="B989" t="s">
        <v>104</v>
      </c>
      <c r="C989" t="s">
        <v>93</v>
      </c>
      <c r="D989" t="s">
        <v>112</v>
      </c>
      <c r="E989">
        <v>34</v>
      </c>
      <c r="F989">
        <v>109</v>
      </c>
      <c r="G989">
        <v>100</v>
      </c>
      <c r="H989">
        <v>55</v>
      </c>
      <c r="I989" s="11">
        <v>10900</v>
      </c>
      <c r="J989" s="11">
        <v>5995</v>
      </c>
      <c r="K989" s="11">
        <v>4905</v>
      </c>
      <c r="L989" t="s">
        <v>79</v>
      </c>
      <c r="M989" t="s">
        <v>115</v>
      </c>
      <c r="N989" t="s">
        <v>124</v>
      </c>
    </row>
    <row r="990" spans="1:14">
      <c r="A990" s="20">
        <v>45318</v>
      </c>
      <c r="B990" t="s">
        <v>104</v>
      </c>
      <c r="C990" t="s">
        <v>93</v>
      </c>
      <c r="D990" t="s">
        <v>110</v>
      </c>
      <c r="E990">
        <v>20</v>
      </c>
      <c r="F990">
        <v>45</v>
      </c>
      <c r="G990">
        <v>100</v>
      </c>
      <c r="H990">
        <v>55</v>
      </c>
      <c r="I990" s="11">
        <v>4500</v>
      </c>
      <c r="J990" s="11">
        <v>2475</v>
      </c>
      <c r="K990" s="11">
        <v>2025</v>
      </c>
      <c r="L990" t="s">
        <v>78</v>
      </c>
      <c r="M990" t="s">
        <v>115</v>
      </c>
      <c r="N990" t="s">
        <v>122</v>
      </c>
    </row>
    <row r="991" spans="1:14">
      <c r="A991" s="20">
        <v>45505</v>
      </c>
      <c r="B991" t="s">
        <v>106</v>
      </c>
      <c r="C991" t="s">
        <v>95</v>
      </c>
      <c r="D991" t="s">
        <v>112</v>
      </c>
      <c r="E991">
        <v>32</v>
      </c>
      <c r="F991">
        <v>78</v>
      </c>
      <c r="G991">
        <v>110</v>
      </c>
      <c r="H991">
        <v>60</v>
      </c>
      <c r="I991" s="11">
        <v>8580</v>
      </c>
      <c r="J991" s="11">
        <v>4680</v>
      </c>
      <c r="K991" s="11">
        <v>3900</v>
      </c>
      <c r="L991" t="s">
        <v>85</v>
      </c>
      <c r="M991" t="s">
        <v>117</v>
      </c>
      <c r="N991" t="s">
        <v>124</v>
      </c>
    </row>
    <row r="992" spans="1:14">
      <c r="A992" s="20">
        <v>45603</v>
      </c>
      <c r="B992" t="s">
        <v>106</v>
      </c>
      <c r="C992" t="s">
        <v>95</v>
      </c>
      <c r="D992" t="s">
        <v>110</v>
      </c>
      <c r="E992">
        <v>24</v>
      </c>
      <c r="F992">
        <v>29</v>
      </c>
      <c r="G992">
        <v>110</v>
      </c>
      <c r="H992">
        <v>60</v>
      </c>
      <c r="I992" s="11">
        <v>3190</v>
      </c>
      <c r="J992" s="11">
        <v>1740</v>
      </c>
      <c r="K992" s="11">
        <v>1450</v>
      </c>
      <c r="L992" t="s">
        <v>88</v>
      </c>
      <c r="M992" t="s">
        <v>118</v>
      </c>
      <c r="N992" t="s">
        <v>122</v>
      </c>
    </row>
    <row r="993" spans="1:14">
      <c r="A993" s="20">
        <v>45447</v>
      </c>
      <c r="B993" t="s">
        <v>104</v>
      </c>
      <c r="C993" t="s">
        <v>93</v>
      </c>
      <c r="D993" t="s">
        <v>111</v>
      </c>
      <c r="E993">
        <v>34</v>
      </c>
      <c r="F993">
        <v>86</v>
      </c>
      <c r="G993">
        <v>100</v>
      </c>
      <c r="H993">
        <v>55</v>
      </c>
      <c r="I993" s="11">
        <v>8600</v>
      </c>
      <c r="J993" s="11">
        <v>4730</v>
      </c>
      <c r="K993" s="11">
        <v>3870</v>
      </c>
      <c r="L993" t="s">
        <v>83</v>
      </c>
      <c r="M993" t="s">
        <v>116</v>
      </c>
      <c r="N993" t="s">
        <v>124</v>
      </c>
    </row>
    <row r="994" spans="1:14">
      <c r="A994" s="20">
        <v>45336</v>
      </c>
      <c r="B994" t="s">
        <v>103</v>
      </c>
      <c r="C994" t="s">
        <v>94</v>
      </c>
      <c r="D994" t="s">
        <v>110</v>
      </c>
      <c r="E994">
        <v>28</v>
      </c>
      <c r="F994">
        <v>81</v>
      </c>
      <c r="G994">
        <v>80</v>
      </c>
      <c r="H994">
        <v>45</v>
      </c>
      <c r="I994" s="11">
        <v>6480</v>
      </c>
      <c r="J994" s="11">
        <v>3645</v>
      </c>
      <c r="K994" s="11">
        <v>2835</v>
      </c>
      <c r="L994" t="s">
        <v>79</v>
      </c>
      <c r="M994" t="s">
        <v>115</v>
      </c>
      <c r="N994" t="s">
        <v>123</v>
      </c>
    </row>
    <row r="995" spans="1:14">
      <c r="A995" s="20">
        <v>45656</v>
      </c>
      <c r="B995" t="s">
        <v>103</v>
      </c>
      <c r="C995" t="s">
        <v>94</v>
      </c>
      <c r="D995" t="s">
        <v>110</v>
      </c>
      <c r="E995">
        <v>19</v>
      </c>
      <c r="F995">
        <v>43</v>
      </c>
      <c r="G995">
        <v>80</v>
      </c>
      <c r="H995">
        <v>45</v>
      </c>
      <c r="I995" s="11">
        <v>3440</v>
      </c>
      <c r="J995" s="11">
        <v>1935</v>
      </c>
      <c r="K995" s="11">
        <v>1505</v>
      </c>
      <c r="L995" t="s">
        <v>89</v>
      </c>
      <c r="M995" t="s">
        <v>118</v>
      </c>
      <c r="N995" t="s">
        <v>122</v>
      </c>
    </row>
    <row r="996" spans="1:14">
      <c r="A996" s="20">
        <v>45616</v>
      </c>
      <c r="B996" t="s">
        <v>104</v>
      </c>
      <c r="C996" t="s">
        <v>94</v>
      </c>
      <c r="D996" t="s">
        <v>110</v>
      </c>
      <c r="E996">
        <v>22</v>
      </c>
      <c r="F996">
        <v>48</v>
      </c>
      <c r="G996">
        <v>80</v>
      </c>
      <c r="H996">
        <v>45</v>
      </c>
      <c r="I996" s="11">
        <v>3840</v>
      </c>
      <c r="J996" s="11">
        <v>2160</v>
      </c>
      <c r="K996" s="11">
        <v>1680</v>
      </c>
      <c r="L996" t="s">
        <v>88</v>
      </c>
      <c r="M996" t="s">
        <v>118</v>
      </c>
      <c r="N996" t="s">
        <v>122</v>
      </c>
    </row>
    <row r="997" spans="1:14">
      <c r="A997" s="20">
        <v>45301</v>
      </c>
      <c r="B997" t="s">
        <v>106</v>
      </c>
      <c r="C997" t="s">
        <v>95</v>
      </c>
      <c r="D997" t="s">
        <v>110</v>
      </c>
      <c r="E997">
        <v>18</v>
      </c>
      <c r="F997">
        <v>17</v>
      </c>
      <c r="G997">
        <v>110</v>
      </c>
      <c r="H997">
        <v>60</v>
      </c>
      <c r="I997" s="11">
        <v>1870</v>
      </c>
      <c r="J997" s="11">
        <v>1020</v>
      </c>
      <c r="K997" s="11">
        <v>850</v>
      </c>
      <c r="L997" t="s">
        <v>78</v>
      </c>
      <c r="M997" t="s">
        <v>115</v>
      </c>
      <c r="N997" t="s">
        <v>122</v>
      </c>
    </row>
    <row r="998" spans="1:14">
      <c r="A998" s="20">
        <v>45383</v>
      </c>
      <c r="B998" t="s">
        <v>105</v>
      </c>
      <c r="C998" t="s">
        <v>97</v>
      </c>
      <c r="D998" t="s">
        <v>111</v>
      </c>
      <c r="E998">
        <v>40</v>
      </c>
      <c r="F998">
        <v>98</v>
      </c>
      <c r="G998">
        <v>130</v>
      </c>
      <c r="H998">
        <v>70</v>
      </c>
      <c r="I998" s="11">
        <v>12740</v>
      </c>
      <c r="J998" s="11">
        <v>6860</v>
      </c>
      <c r="K998" s="11">
        <v>5880</v>
      </c>
      <c r="L998" t="s">
        <v>81</v>
      </c>
      <c r="M998" t="s">
        <v>116</v>
      </c>
      <c r="N998" t="s">
        <v>125</v>
      </c>
    </row>
    <row r="999" spans="1:14">
      <c r="A999" s="20">
        <v>45436</v>
      </c>
      <c r="B999" t="s">
        <v>103</v>
      </c>
      <c r="C999" t="s">
        <v>95</v>
      </c>
      <c r="D999" t="s">
        <v>110</v>
      </c>
      <c r="E999">
        <v>37</v>
      </c>
      <c r="F999">
        <v>89</v>
      </c>
      <c r="G999">
        <v>110</v>
      </c>
      <c r="H999">
        <v>60</v>
      </c>
      <c r="I999" s="11">
        <v>9790</v>
      </c>
      <c r="J999" s="11">
        <v>5340</v>
      </c>
      <c r="K999" s="11">
        <v>4450</v>
      </c>
      <c r="L999" t="s">
        <v>82</v>
      </c>
      <c r="M999" t="s">
        <v>116</v>
      </c>
      <c r="N999" t="s">
        <v>125</v>
      </c>
    </row>
    <row r="1000" spans="1:14">
      <c r="A1000" s="20">
        <v>45462</v>
      </c>
      <c r="B1000" t="s">
        <v>105</v>
      </c>
      <c r="C1000" t="s">
        <v>94</v>
      </c>
      <c r="D1000" t="s">
        <v>110</v>
      </c>
      <c r="E1000">
        <v>39</v>
      </c>
      <c r="F1000">
        <v>127</v>
      </c>
      <c r="G1000">
        <v>80</v>
      </c>
      <c r="H1000">
        <v>45</v>
      </c>
      <c r="I1000" s="11">
        <v>10160</v>
      </c>
      <c r="J1000" s="11">
        <v>5715</v>
      </c>
      <c r="K1000" s="11">
        <v>4445</v>
      </c>
      <c r="L1000" t="s">
        <v>83</v>
      </c>
      <c r="M1000" t="s">
        <v>116</v>
      </c>
      <c r="N1000" t="s">
        <v>125</v>
      </c>
    </row>
    <row r="1001" spans="1:14">
      <c r="A1001" s="20">
        <v>45388</v>
      </c>
      <c r="B1001" t="s">
        <v>105</v>
      </c>
      <c r="C1001" t="s">
        <v>96</v>
      </c>
      <c r="D1001" t="s">
        <v>112</v>
      </c>
      <c r="E1001">
        <v>41</v>
      </c>
      <c r="F1001">
        <v>157</v>
      </c>
      <c r="G1001">
        <v>90</v>
      </c>
      <c r="H1001">
        <v>50</v>
      </c>
      <c r="I1001" s="11">
        <v>14130</v>
      </c>
      <c r="J1001" s="11">
        <v>7850</v>
      </c>
      <c r="K1001" s="11">
        <v>6280</v>
      </c>
      <c r="L1001" t="s">
        <v>81</v>
      </c>
      <c r="M1001" t="s">
        <v>116</v>
      </c>
      <c r="N1001" t="s">
        <v>125</v>
      </c>
    </row>
  </sheetData>
  <autoFilter ref="A1:N100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PT1_Monthly</vt:lpstr>
      <vt:lpstr>PT2_Flavour_Value</vt:lpstr>
      <vt:lpstr>PT3_Flavour_Volume</vt:lpstr>
      <vt:lpstr>PT4_City</vt:lpstr>
      <vt:lpstr>PT5_City_x_Flavour</vt:lpstr>
      <vt:lpstr>PT6_Channel</vt:lpstr>
      <vt:lpstr>PT7_Qtr_x_Channel</vt:lpstr>
      <vt:lpstr>PT8_Temperature</vt:lpstr>
      <vt:lpstr>Sales Data 2024</vt:lpstr>
      <vt:lpstr>Dashboard &amp; Charts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Raskar</cp:lastModifiedBy>
  <dcterms:created xsi:type="dcterms:W3CDTF">2026-10-10T07:17:12Z</dcterms:created>
  <dcterms:modified xsi:type="dcterms:W3CDTF">2026-10-10T07:52:44Z</dcterms:modified>
</cp:coreProperties>
</file>